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udrey_dalmasso_skema_edu/Documents/Documents/Sauvegarde 26 08 25/Documents 2/Cours FADM/Fall 2025 FADM/"/>
    </mc:Choice>
  </mc:AlternateContent>
  <xr:revisionPtr revIDLastSave="5" documentId="13_ncr:1_{C4A706E5-F3BD-441E-B529-8DC17A63446B}" xr6:coauthVersionLast="47" xr6:coauthVersionMax="47" xr10:uidLastSave="{9836C070-C3FB-4616-913D-9A30CBF62E6E}"/>
  <bookViews>
    <workbookView xWindow="28680" yWindow="-120" windowWidth="29040" windowHeight="15720" activeTab="8" xr2:uid="{00000000-000D-0000-FFFF-FFFF00000000}"/>
  </bookViews>
  <sheets>
    <sheet name="Example 4.6 pp.107-109" sheetId="2" r:id="rId1"/>
    <sheet name="New exercise 1" sheetId="11" r:id="rId2"/>
    <sheet name="Ex 4.14 p.133" sheetId="1" r:id="rId3"/>
    <sheet name="Ex 4.15 p.134" sheetId="3" r:id="rId4"/>
    <sheet name="Ex 4.23 p.134" sheetId="4" r:id="rId5"/>
    <sheet name="New Exercise 2" sheetId="12" r:id="rId6"/>
    <sheet name="Ex 4.24 p.134" sheetId="5" r:id="rId7"/>
    <sheet name="Ex 4.36 p.136" sheetId="6" r:id="rId8"/>
    <sheet name="Example pp.207-208" sheetId="8" r:id="rId9"/>
    <sheet name="Ex 7.6 p.226" sheetId="7" r:id="rId10"/>
    <sheet name="Example pp.210-211" sheetId="9" r:id="rId11"/>
    <sheet name="Ex 7.15 p.227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C30" i="2"/>
  <c r="G20" i="2"/>
  <c r="C22" i="2"/>
  <c r="F21" i="2"/>
  <c r="F20" i="2"/>
  <c r="E23" i="2" s="1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D18" i="2"/>
  <c r="C23" i="2"/>
  <c r="C20" i="2"/>
  <c r="E18" i="2"/>
  <c r="F18" i="2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C18" i="4"/>
  <c r="B18" i="12"/>
  <c r="C14" i="12"/>
  <c r="D15" i="12"/>
  <c r="E15" i="12"/>
  <c r="F15" i="12"/>
  <c r="G15" i="12"/>
  <c r="B19" i="12"/>
  <c r="B20" i="12"/>
  <c r="C11" i="12"/>
  <c r="D11" i="12"/>
  <c r="E11" i="12"/>
  <c r="F11" i="12"/>
  <c r="G11" i="12"/>
  <c r="F6" i="10"/>
  <c r="J21" i="9"/>
  <c r="J22" i="9"/>
  <c r="C18" i="9"/>
  <c r="C19" i="9"/>
  <c r="C21" i="9"/>
  <c r="E14" i="7"/>
  <c r="E13" i="7"/>
  <c r="E15" i="7"/>
  <c r="D32" i="7"/>
  <c r="D16" i="7"/>
  <c r="B15" i="5"/>
  <c r="B17" i="5"/>
  <c r="B16" i="5"/>
  <c r="E17" i="3"/>
  <c r="K10" i="1"/>
  <c r="L27" i="1"/>
  <c r="L28" i="1"/>
  <c r="L29" i="1"/>
  <c r="L30" i="1"/>
  <c r="L31" i="1"/>
  <c r="L32" i="1"/>
  <c r="L33" i="1"/>
  <c r="H22" i="1"/>
  <c r="H18" i="1"/>
  <c r="D10" i="1"/>
  <c r="F10" i="1"/>
  <c r="G10" i="1"/>
  <c r="H10" i="1"/>
  <c r="I10" i="1"/>
  <c r="J10" i="1"/>
  <c r="L10" i="1"/>
</calcChain>
</file>

<file path=xl/sharedStrings.xml><?xml version="1.0" encoding="utf-8"?>
<sst xmlns="http://schemas.openxmlformats.org/spreadsheetml/2006/main" count="203" uniqueCount="143">
  <si>
    <t>Example 4.6.107-108</t>
  </si>
  <si>
    <t>Discount rate</t>
  </si>
  <si>
    <t>Period</t>
  </si>
  <si>
    <t>Cost</t>
  </si>
  <si>
    <r>
      <t>Benefits B</t>
    </r>
    <r>
      <rPr>
        <b/>
        <vertAlign val="subscript"/>
        <sz val="11"/>
        <color theme="1"/>
        <rFont val="Calibri"/>
        <family val="2"/>
        <scheme val="minor"/>
      </rPr>
      <t>t</t>
    </r>
  </si>
  <si>
    <r>
      <t>PV of  B</t>
    </r>
    <r>
      <rPr>
        <b/>
        <vertAlign val="subscript"/>
        <sz val="11"/>
        <rFont val="Calibri"/>
        <family val="2"/>
        <scheme val="minor"/>
      </rPr>
      <t>t</t>
    </r>
    <r>
      <rPr>
        <b/>
        <sz val="11"/>
        <rFont val="Calibri"/>
        <family val="2"/>
        <scheme val="minor"/>
      </rPr>
      <t xml:space="preserve"> = B</t>
    </r>
    <r>
      <rPr>
        <b/>
        <vertAlign val="subscript"/>
        <sz val="11"/>
        <rFont val="Calibri"/>
        <family val="2"/>
        <scheme val="minor"/>
      </rPr>
      <t xml:space="preserve">t </t>
    </r>
    <r>
      <rPr>
        <b/>
        <sz val="11"/>
        <rFont val="Calibri"/>
        <family val="2"/>
        <scheme val="minor"/>
      </rPr>
      <t>/ (1 + r)</t>
    </r>
    <r>
      <rPr>
        <b/>
        <vertAlign val="superscript"/>
        <sz val="11"/>
        <rFont val="Calibri"/>
        <family val="2"/>
        <scheme val="minor"/>
      </rPr>
      <t>t</t>
    </r>
  </si>
  <si>
    <t xml:space="preserve">PV of Cost </t>
  </si>
  <si>
    <r>
      <t xml:space="preserve"> PV</t>
    </r>
    <r>
      <rPr>
        <b/>
        <vertAlign val="subscript"/>
        <sz val="11"/>
        <color theme="1"/>
        <rFont val="Calibri"/>
        <family val="2"/>
        <scheme val="minor"/>
      </rPr>
      <t>benefits</t>
    </r>
  </si>
  <si>
    <t>we can use here because the same value (500) for all periods 1, 2 and 3.</t>
  </si>
  <si>
    <r>
      <t>NPV = PV</t>
    </r>
    <r>
      <rPr>
        <b/>
        <vertAlign val="subscript"/>
        <sz val="11"/>
        <color theme="1"/>
        <rFont val="Calibri"/>
        <family val="2"/>
        <scheme val="minor"/>
      </rPr>
      <t>benefits</t>
    </r>
    <r>
      <rPr>
        <b/>
        <sz val="11"/>
        <color theme="1"/>
        <rFont val="Calibri"/>
        <family val="2"/>
        <scheme val="minor"/>
      </rPr>
      <t xml:space="preserve"> - PV</t>
    </r>
    <r>
      <rPr>
        <b/>
        <vertAlign val="subscript"/>
        <sz val="11"/>
        <color theme="1"/>
        <rFont val="Calibri"/>
        <family val="2"/>
        <scheme val="minor"/>
      </rPr>
      <t>Cost</t>
    </r>
  </si>
  <si>
    <t>Other method:</t>
  </si>
  <si>
    <t>Cashflows</t>
  </si>
  <si>
    <t>New exercise:</t>
  </si>
  <si>
    <t>Question 1</t>
  </si>
  <si>
    <t>Assume you will receive $15000 in one year from now, then $3500 the next 3 years. In year 5, you have to pay $18,000. Compute the net present value of this stream of cash flows.</t>
  </si>
  <si>
    <t xml:space="preserve">Discount rate = </t>
  </si>
  <si>
    <t>Years</t>
  </si>
  <si>
    <t>Year 1</t>
  </si>
  <si>
    <t>Year 2</t>
  </si>
  <si>
    <t>Year 3</t>
  </si>
  <si>
    <t>Year 4</t>
  </si>
  <si>
    <t>Year 5</t>
  </si>
  <si>
    <t>Net Present value:</t>
  </si>
  <si>
    <t>Question 2</t>
  </si>
  <si>
    <t>Assume you will receive $15000 today, then $3500 the next 3 years. In year 4, you have to pay $18,000. Compute the net present value of this stream of cash flows.</t>
  </si>
  <si>
    <t>Year 0</t>
  </si>
  <si>
    <t>Exercise 4.14 p.133</t>
  </si>
  <si>
    <t>You have been offered a unique investment opportunity. If you invest $10,000 today, you will receive $500 one year from now, $1500 two years from now, and $10,000 ten years from now.</t>
  </si>
  <si>
    <t>Interest rate</t>
  </si>
  <si>
    <t>Year</t>
  </si>
  <si>
    <r>
      <t>Benefits B</t>
    </r>
    <r>
      <rPr>
        <b/>
        <vertAlign val="subscript"/>
        <sz val="14"/>
        <color theme="1"/>
        <rFont val="Calibri"/>
        <family val="2"/>
        <scheme val="minor"/>
      </rPr>
      <t>t</t>
    </r>
  </si>
  <si>
    <r>
      <t>PV</t>
    </r>
    <r>
      <rPr>
        <vertAlign val="subscript"/>
        <sz val="14"/>
        <color theme="1"/>
        <rFont val="Calibri"/>
        <family val="2"/>
        <scheme val="minor"/>
      </rPr>
      <t>benefits</t>
    </r>
  </si>
  <si>
    <r>
      <t>NPV = PV</t>
    </r>
    <r>
      <rPr>
        <b/>
        <vertAlign val="subscript"/>
        <sz val="16"/>
        <color theme="1"/>
        <rFont val="Calibri"/>
        <family val="2"/>
        <scheme val="minor"/>
      </rPr>
      <t>benefits</t>
    </r>
    <r>
      <rPr>
        <b/>
        <sz val="16"/>
        <color theme="1"/>
        <rFont val="Calibri"/>
        <family val="2"/>
        <scheme val="minor"/>
      </rPr>
      <t xml:space="preserve"> - PV</t>
    </r>
    <r>
      <rPr>
        <b/>
        <vertAlign val="subscript"/>
        <sz val="16"/>
        <color theme="1"/>
        <rFont val="Calibri"/>
        <family val="2"/>
        <scheme val="minor"/>
      </rPr>
      <t>Cost</t>
    </r>
  </si>
  <si>
    <r>
      <t xml:space="preserve">a. </t>
    </r>
    <r>
      <rPr>
        <sz val="14"/>
        <color theme="1"/>
        <rFont val="Calibri"/>
        <family val="2"/>
        <scheme val="minor"/>
      </rPr>
      <t>What is the NPV of the opportunity if the interest rate is 6% per year? Should you take the opportunity?</t>
    </r>
  </si>
  <si>
    <t xml:space="preserve">At an interest rate of </t>
  </si>
  <si>
    <t>the NPV is</t>
  </si>
  <si>
    <r>
      <t xml:space="preserve">b. </t>
    </r>
    <r>
      <rPr>
        <sz val="14"/>
        <color theme="1"/>
        <rFont val="Calibri"/>
        <family val="2"/>
        <scheme val="minor"/>
      </rPr>
      <t>What is the NPV of the opportunity if the interest rate is 2% per year? Should you take it now?</t>
    </r>
  </si>
  <si>
    <t>Construct a line chart showing the relationship between NPV (Y axis) and Discount rates (X axis):</t>
  </si>
  <si>
    <t>Data for NPV profile:</t>
  </si>
  <si>
    <t>NPV</t>
  </si>
  <si>
    <t>Exercise 4.15 p.134</t>
  </si>
  <si>
    <t>Marian Plunket owns her own business and is considering an investment. If she undertakes the investment, it will pay $4000 at the end of each of the next three years. The opportunity requires an initial investment of $1000 plus an additional investment at the end of the second year of $5000. What is the NPV of this opportunity if the interest rate is 2% per year? Should Marian take it?</t>
  </si>
  <si>
    <r>
      <t>Cash flow C</t>
    </r>
    <r>
      <rPr>
        <b/>
        <vertAlign val="subscript"/>
        <sz val="11"/>
        <color theme="1"/>
        <rFont val="Calibri"/>
        <family val="2"/>
        <scheme val="minor"/>
      </rPr>
      <t>t</t>
    </r>
  </si>
  <si>
    <r>
      <t>1) Compute the present value of 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up to C</t>
    </r>
    <r>
      <rPr>
        <vertAlign val="subscript"/>
        <sz val="11"/>
        <color theme="1"/>
        <rFont val="Calibri"/>
        <family val="2"/>
        <scheme val="minor"/>
      </rPr>
      <t>18.</t>
    </r>
  </si>
  <si>
    <r>
      <t>PV of  C</t>
    </r>
    <r>
      <rPr>
        <b/>
        <vertAlign val="subscript"/>
        <sz val="11"/>
        <rFont val="Calibri"/>
        <family val="2"/>
        <scheme val="minor"/>
      </rPr>
      <t>t</t>
    </r>
    <r>
      <rPr>
        <b/>
        <sz val="11"/>
        <rFont val="Calibri"/>
        <family val="2"/>
        <scheme val="minor"/>
      </rPr>
      <t xml:space="preserve"> = C</t>
    </r>
    <r>
      <rPr>
        <b/>
        <vertAlign val="subscript"/>
        <sz val="11"/>
        <rFont val="Calibri"/>
        <family val="2"/>
        <scheme val="minor"/>
      </rPr>
      <t xml:space="preserve">t </t>
    </r>
    <r>
      <rPr>
        <b/>
        <sz val="11"/>
        <rFont val="Calibri"/>
        <family val="2"/>
        <scheme val="minor"/>
      </rPr>
      <t>/ (1 + r)</t>
    </r>
    <r>
      <rPr>
        <b/>
        <vertAlign val="superscript"/>
        <sz val="11"/>
        <rFont val="Calibri"/>
        <family val="2"/>
        <scheme val="minor"/>
      </rPr>
      <t>t</t>
    </r>
  </si>
  <si>
    <t>2) Compute the Present Value of all the cash flows, using question 1.</t>
  </si>
  <si>
    <t>Present Value PV</t>
  </si>
  <si>
    <t>3) Compute the Present Value of all the cash flows, using the Excel command: (You can use it here as all the cash flows are the same.)</t>
  </si>
  <si>
    <t xml:space="preserve">4) Compute the Future Value of all the cash flows at t=18. Use the Excel command. </t>
  </si>
  <si>
    <t>Future Value FV</t>
  </si>
  <si>
    <t>You are allowed to use the Excel command because the cash flows are constant.</t>
  </si>
  <si>
    <t>5) Check the result of question 4), using the solution to question 3.</t>
  </si>
  <si>
    <t>You are CEO of Rivet Networks, maker of ultra-high performance network cards for gaming computers, and you are considering whether to launch a new product.  The product, the Killer X3000, will cost $900,000 to develop up front (year 0), and you expect revenues the first year of $800,000, growing to $1.5 million the second year, and then declining by 40% per year for the next 3 years before the product is fully obsolete.  In years 1 through 5, you will have fixed costs associated with the product of $100,000 per year, and variable costs equal to 50% of revenues.</t>
  </si>
  <si>
    <t>a.</t>
  </si>
  <si>
    <t>What are the cash flows for the project in years 0 through 5?</t>
  </si>
  <si>
    <t>b.</t>
  </si>
  <si>
    <t>Plot the NPV profile for this investment from 0% to 75% in 5% increments.</t>
  </si>
  <si>
    <t>c.</t>
  </si>
  <si>
    <t>What is the project’s NPV if the project’s cost of capital is 10%?</t>
  </si>
  <si>
    <t>d.</t>
  </si>
  <si>
    <t>Use the NPV profile to estimate the cost of capital at which the project would become unprofitable; that is, estimate the project’s IRR.</t>
  </si>
  <si>
    <t>Rivet  Networks</t>
  </si>
  <si>
    <t>Positive values</t>
  </si>
  <si>
    <t>Negative values</t>
  </si>
  <si>
    <t>Cost of Capital</t>
  </si>
  <si>
    <t xml:space="preserve">Discount Factor = </t>
  </si>
  <si>
    <t>1/(1 + r)^n</t>
  </si>
  <si>
    <t>Revenues</t>
  </si>
  <si>
    <t>Growth/Decay rate</t>
  </si>
  <si>
    <t>Variable Costs</t>
  </si>
  <si>
    <t>% sales</t>
  </si>
  <si>
    <t>Fixed Costs</t>
  </si>
  <si>
    <t>Investment</t>
  </si>
  <si>
    <t>Total Cash Flow</t>
  </si>
  <si>
    <t>Discount Factor</t>
  </si>
  <si>
    <t>PV</t>
  </si>
  <si>
    <t>IRR</t>
  </si>
  <si>
    <t>Graph:</t>
  </si>
  <si>
    <t>Exercise 4.24 p.134</t>
  </si>
  <si>
    <t>A rich relative has bequeathed you a growing perpetuity. The first payment will occur in a year and will be $1000. Each year after that, you will receive a payment on the anniversary of the last payment that is 8% larger than the last payment. This pattern of payments will go on forever. If the interest rate is 12% per year,</t>
  </si>
  <si>
    <r>
      <t xml:space="preserve">a. </t>
    </r>
    <r>
      <rPr>
        <sz val="12"/>
        <rFont val="Calibri"/>
        <family val="2"/>
        <scheme val="minor"/>
      </rPr>
      <t>What is today’s value of the bequest?</t>
    </r>
  </si>
  <si>
    <t>First Payment</t>
  </si>
  <si>
    <t>Growth Rate</t>
  </si>
  <si>
    <t>Interest Rate</t>
  </si>
  <si>
    <t>Value</t>
  </si>
  <si>
    <r>
      <t xml:space="preserve">b. </t>
    </r>
    <r>
      <rPr>
        <sz val="12"/>
        <rFont val="Calibri"/>
        <family val="2"/>
        <scheme val="minor"/>
      </rPr>
      <t>What is the value of the bequest immediately after the first payment is made?</t>
    </r>
  </si>
  <si>
    <t>2 ways:</t>
  </si>
  <si>
    <t>Value This Year Times 
1 + Growth Rate</t>
  </si>
  <si>
    <t>- OR -</t>
  </si>
  <si>
    <t>Second Payment</t>
  </si>
  <si>
    <t>You are thinking of purchasing a house. The house costs $350,000. You have $50,000 in cash that you can use as a down payment on the house, but you need to borrow the rest of the purchase price. The bank is offering a 30-year mortgage that requires annual payments and has an interest rate of 7% per year. What will your annual payment be if you sign up for this mortgage?</t>
  </si>
  <si>
    <t>Cost of House</t>
  </si>
  <si>
    <t>Down Payment</t>
  </si>
  <si>
    <t>Number of Years</t>
  </si>
  <si>
    <t>Annual Payment Amount*</t>
  </si>
  <si>
    <t>*Use the PMT formula</t>
  </si>
  <si>
    <t>Example pp.207-208</t>
  </si>
  <si>
    <t>Perpetuity</t>
  </si>
  <si>
    <t xml:space="preserve">Cost </t>
  </si>
  <si>
    <t>Cash Flow</t>
  </si>
  <si>
    <t>Discount interest rate</t>
  </si>
  <si>
    <t>Exercise 7.6 p.226</t>
  </si>
  <si>
    <t>FastTrack Bikes, Inc., is thinking of developing a new composite road bike. Development will take six years and the cost is $200,000 per year. Once in production, the bike is expected to make $300,000 per year for 10 years.  Assume the cost of capital is 10%.</t>
  </si>
  <si>
    <t>Calculate the NPV of this investment opportunity, assuming all cash flows occur at the end of each year. Should the company make the investment?</t>
  </si>
  <si>
    <t>By how much must the cost of capital estimate deviate to change the decision?  (Hint:  Use Excel to calculate the IRR.)</t>
  </si>
  <si>
    <t>What is the NPV of the investmetn if the cost of capital is 14%?</t>
  </si>
  <si>
    <t>Annual development cost</t>
  </si>
  <si>
    <t>Number of years to develop</t>
  </si>
  <si>
    <t>Cash flows in production</t>
  </si>
  <si>
    <t>Number of years in production</t>
  </si>
  <si>
    <t>Cost of capital</t>
  </si>
  <si>
    <t>PV of development costs</t>
  </si>
  <si>
    <t>PV of production inflows</t>
  </si>
  <si>
    <t>Cash flows for IRR:</t>
  </si>
  <si>
    <t>The decision will change if the cost of capital deviates by more than</t>
  </si>
  <si>
    <t xml:space="preserve"> </t>
  </si>
  <si>
    <t>Example pp.210-211</t>
  </si>
  <si>
    <t>Number of periods</t>
  </si>
  <si>
    <t>Benefits</t>
  </si>
  <si>
    <t>Cash flows</t>
  </si>
  <si>
    <r>
      <t>PV</t>
    </r>
    <r>
      <rPr>
        <vertAlign val="subscript"/>
        <sz val="11"/>
        <color theme="1"/>
        <rFont val="Calibri"/>
        <family val="2"/>
        <scheme val="minor"/>
      </rPr>
      <t>Benefits</t>
    </r>
  </si>
  <si>
    <r>
      <t>PV</t>
    </r>
    <r>
      <rPr>
        <vertAlign val="subscript"/>
        <sz val="11"/>
        <color theme="1"/>
        <rFont val="Calibri"/>
        <family val="2"/>
        <scheme val="minor"/>
      </rPr>
      <t>Cost</t>
    </r>
  </si>
  <si>
    <t>NPV Rule:</t>
  </si>
  <si>
    <t>IRR Rule:</t>
  </si>
  <si>
    <t>Use the IRR formula</t>
  </si>
  <si>
    <t>NPV &lt; 0</t>
  </si>
  <si>
    <t>IRR =</t>
  </si>
  <si>
    <t>IRR &gt; Cost of Capital</t>
  </si>
  <si>
    <t>Use the NPV formula</t>
  </si>
  <si>
    <t>We should …..</t>
  </si>
  <si>
    <t xml:space="preserve">Cost of capital </t>
  </si>
  <si>
    <t>We should ….</t>
  </si>
  <si>
    <t>Construct the Chart of the NPV as follows</t>
  </si>
  <si>
    <t>The IRR Rule fails.</t>
  </si>
  <si>
    <t>Discount Rate</t>
  </si>
  <si>
    <t xml:space="preserve">Discount rate </t>
  </si>
  <si>
    <t>NPV at 10%</t>
  </si>
  <si>
    <t>15,09% &gt; 10%</t>
  </si>
  <si>
    <t>We should ………….</t>
  </si>
  <si>
    <t>But</t>
  </si>
  <si>
    <t>NPV at 10% &lt;0</t>
  </si>
  <si>
    <t>We should ……………</t>
  </si>
  <si>
    <t>The IRR rule…..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</si>
</sst>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8" formatCode="&quot;$&quot;#,##0.00_);[Red]\(&quot;$&quot;#,##0.00\)"/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0.000"/>
    <numFmt numFmtId="167" formatCode="&quot;$&quot;#,##0.00;[Red]&quot;$&quot;#,##0.00"/>
    <numFmt numFmtId="168" formatCode="0_);\(0\)"/>
    <numFmt numFmtId="169" formatCode="0.0000"/>
    <numFmt numFmtId="170" formatCode="_(#,##0.0%_);\(#,##0.0%\)"/>
    <numFmt numFmtId="171" formatCode="_(#,##0_);\(#,##0\);_(&quot;-&quot;_);_(@_)"/>
    <numFmt numFmtId="172" formatCode="_-[$$-409]* #,##0.00_ ;_-[$$-409]* \-#,##0.00\ ;_-[$$-409]* &quot;-&quot;??_ ;_-@_ 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rgb="FF00B050"/>
      <name val="Calibri"/>
      <family val="2"/>
      <scheme val="minor"/>
    </font>
    <font>
      <b/>
      <sz val="14"/>
      <color indexed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4"/>
      <color rgb="FF00B05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17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indexed="18"/>
      <name val="Calibri"/>
      <family val="2"/>
      <scheme val="minor"/>
    </font>
    <font>
      <sz val="14"/>
      <color indexed="17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color theme="3" tint="-0.499984740745262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5E3D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4" fillId="0" borderId="0" applyFont="0" applyFill="0" applyBorder="0" applyAlignment="0" applyProtection="0"/>
    <xf numFmtId="0" fontId="23" fillId="0" borderId="0"/>
    <xf numFmtId="9" fontId="14" fillId="0" borderId="0" applyFont="0" applyFill="0" applyBorder="0" applyAlignment="0" applyProtection="0"/>
  </cellStyleXfs>
  <cellXfs count="202">
    <xf numFmtId="0" fontId="0" fillId="0" borderId="0" xfId="0"/>
    <xf numFmtId="0" fontId="2" fillId="0" borderId="0" xfId="0" applyFont="1"/>
    <xf numFmtId="9" fontId="0" fillId="2" borderId="0" xfId="0" applyNumberFormat="1" applyFill="1"/>
    <xf numFmtId="0" fontId="1" fillId="2" borderId="0" xfId="0" applyFont="1" applyFill="1"/>
    <xf numFmtId="166" fontId="0" fillId="0" borderId="0" xfId="0" applyNumberFormat="1"/>
    <xf numFmtId="0" fontId="0" fillId="0" borderId="1" xfId="0" applyBorder="1"/>
    <xf numFmtId="0" fontId="5" fillId="3" borderId="1" xfId="0" applyFont="1" applyFill="1" applyBorder="1"/>
    <xf numFmtId="0" fontId="8" fillId="3" borderId="1" xfId="0" applyFont="1" applyFill="1" applyBorder="1"/>
    <xf numFmtId="166" fontId="8" fillId="3" borderId="1" xfId="0" applyNumberFormat="1" applyFont="1" applyFill="1" applyBorder="1"/>
    <xf numFmtId="166" fontId="8" fillId="0" borderId="0" xfId="0" applyNumberFormat="1" applyFont="1"/>
    <xf numFmtId="0" fontId="5" fillId="4" borderId="1" xfId="0" applyFont="1" applyFill="1" applyBorder="1"/>
    <xf numFmtId="0" fontId="8" fillId="4" borderId="1" xfId="0" applyFont="1" applyFill="1" applyBorder="1"/>
    <xf numFmtId="164" fontId="0" fillId="0" borderId="0" xfId="0" applyNumberFormat="1"/>
    <xf numFmtId="9" fontId="0" fillId="0" borderId="0" xfId="0" applyNumberFormat="1"/>
    <xf numFmtId="4" fontId="0" fillId="0" borderId="0" xfId="0" applyNumberForma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1" fillId="2" borderId="0" xfId="0" applyFont="1" applyFill="1"/>
    <xf numFmtId="10" fontId="11" fillId="2" borderId="0" xfId="0" applyNumberFormat="1" applyFont="1" applyFill="1"/>
    <xf numFmtId="0" fontId="12" fillId="0" borderId="0" xfId="0" applyFont="1"/>
    <xf numFmtId="39" fontId="12" fillId="0" borderId="0" xfId="0" applyNumberFormat="1" applyFont="1"/>
    <xf numFmtId="0" fontId="12" fillId="0" borderId="3" xfId="0" applyFont="1" applyBorder="1"/>
    <xf numFmtId="4" fontId="12" fillId="0" borderId="0" xfId="0" applyNumberFormat="1" applyFont="1"/>
    <xf numFmtId="0" fontId="1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9" fillId="0" borderId="0" xfId="0" applyFont="1" applyProtection="1">
      <protection locked="0"/>
    </xf>
    <xf numFmtId="10" fontId="11" fillId="0" borderId="0" xfId="0" applyNumberFormat="1" applyFont="1"/>
    <xf numFmtId="8" fontId="0" fillId="0" borderId="0" xfId="0" applyNumberFormat="1"/>
    <xf numFmtId="0" fontId="0" fillId="0" borderId="0" xfId="0" applyAlignment="1">
      <alignment horizontal="center"/>
    </xf>
    <xf numFmtId="0" fontId="11" fillId="0" borderId="1" xfId="0" applyFont="1" applyBorder="1"/>
    <xf numFmtId="2" fontId="12" fillId="0" borderId="2" xfId="0" applyNumberFormat="1" applyFont="1" applyBorder="1"/>
    <xf numFmtId="2" fontId="12" fillId="0" borderId="0" xfId="0" applyNumberFormat="1" applyFont="1"/>
    <xf numFmtId="2" fontId="12" fillId="0" borderId="1" xfId="0" applyNumberFormat="1" applyFont="1" applyBorder="1"/>
    <xf numFmtId="2" fontId="12" fillId="3" borderId="1" xfId="0" applyNumberFormat="1" applyFont="1" applyFill="1" applyBorder="1"/>
    <xf numFmtId="2" fontId="12" fillId="4" borderId="1" xfId="0" applyNumberFormat="1" applyFont="1" applyFill="1" applyBorder="1"/>
    <xf numFmtId="2" fontId="12" fillId="0" borderId="0" xfId="0" applyNumberFormat="1" applyFont="1" applyAlignment="1">
      <alignment wrapText="1"/>
    </xf>
    <xf numFmtId="2" fontId="12" fillId="7" borderId="1" xfId="0" applyNumberFormat="1" applyFont="1" applyFill="1" applyBorder="1"/>
    <xf numFmtId="0" fontId="1" fillId="5" borderId="1" xfId="0" applyFont="1" applyFill="1" applyBorder="1"/>
    <xf numFmtId="2" fontId="12" fillId="5" borderId="1" xfId="0" applyNumberFormat="1" applyFont="1" applyFill="1" applyBorder="1"/>
    <xf numFmtId="166" fontId="0" fillId="6" borderId="1" xfId="0" applyNumberFormat="1" applyFill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1" fillId="6" borderId="1" xfId="0" applyFont="1" applyFill="1" applyBorder="1"/>
    <xf numFmtId="2" fontId="0" fillId="6" borderId="1" xfId="0" applyNumberFormat="1" applyFill="1" applyBorder="1"/>
    <xf numFmtId="10" fontId="0" fillId="0" borderId="0" xfId="0" applyNumberFormat="1"/>
    <xf numFmtId="9" fontId="12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0" fontId="18" fillId="0" borderId="0" xfId="0" applyFont="1"/>
    <xf numFmtId="0" fontId="1" fillId="0" borderId="0" xfId="0" applyFont="1"/>
    <xf numFmtId="0" fontId="19" fillId="0" borderId="0" xfId="0" applyFont="1"/>
    <xf numFmtId="0" fontId="20" fillId="0" borderId="0" xfId="0" applyFont="1"/>
    <xf numFmtId="0" fontId="21" fillId="0" borderId="0" xfId="2" applyFont="1" applyAlignment="1">
      <alignment wrapText="1"/>
    </xf>
    <xf numFmtId="0" fontId="20" fillId="0" borderId="0" xfId="2" applyFont="1" applyAlignment="1">
      <alignment wrapText="1"/>
    </xf>
    <xf numFmtId="0" fontId="20" fillId="0" borderId="0" xfId="0" applyFont="1" applyProtection="1">
      <protection locked="0"/>
    </xf>
    <xf numFmtId="0" fontId="22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20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9" fontId="0" fillId="0" borderId="0" xfId="3" applyFont="1"/>
    <xf numFmtId="2" fontId="0" fillId="0" borderId="0" xfId="3" applyNumberFormat="1" applyFont="1"/>
    <xf numFmtId="0" fontId="1" fillId="0" borderId="0" xfId="0" applyFont="1" applyAlignment="1">
      <alignment horizontal="center"/>
    </xf>
    <xf numFmtId="0" fontId="0" fillId="2" borderId="0" xfId="0" applyFill="1"/>
    <xf numFmtId="9" fontId="0" fillId="2" borderId="0" xfId="3" applyFont="1" applyFill="1"/>
    <xf numFmtId="0" fontId="0" fillId="9" borderId="1" xfId="0" applyFill="1" applyBorder="1"/>
    <xf numFmtId="0" fontId="0" fillId="10" borderId="1" xfId="0" applyFill="1" applyBorder="1"/>
    <xf numFmtId="2" fontId="8" fillId="0" borderId="0" xfId="0" applyNumberFormat="1" applyFont="1"/>
    <xf numFmtId="0" fontId="0" fillId="0" borderId="12" xfId="0" applyBorder="1"/>
    <xf numFmtId="0" fontId="0" fillId="0" borderId="13" xfId="0" applyBorder="1"/>
    <xf numFmtId="2" fontId="8" fillId="0" borderId="13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 applyAlignment="1">
      <alignment horizontal="right"/>
    </xf>
    <xf numFmtId="9" fontId="0" fillId="0" borderId="18" xfId="0" applyNumberFormat="1" applyBorder="1"/>
    <xf numFmtId="0" fontId="26" fillId="0" borderId="0" xfId="0" applyFont="1"/>
    <xf numFmtId="0" fontId="25" fillId="0" borderId="0" xfId="0" applyFont="1"/>
    <xf numFmtId="167" fontId="27" fillId="0" borderId="0" xfId="0" applyNumberFormat="1" applyFont="1"/>
    <xf numFmtId="0" fontId="28" fillId="0" borderId="0" xfId="0" applyFont="1"/>
    <xf numFmtId="8" fontId="27" fillId="0" borderId="1" xfId="0" applyNumberFormat="1" applyFont="1" applyBorder="1"/>
    <xf numFmtId="10" fontId="27" fillId="0" borderId="1" xfId="0" applyNumberFormat="1" applyFont="1" applyBorder="1"/>
    <xf numFmtId="7" fontId="29" fillId="0" borderId="1" xfId="0" applyNumberFormat="1" applyFont="1" applyBorder="1"/>
    <xf numFmtId="0" fontId="30" fillId="0" borderId="0" xfId="0" applyFont="1"/>
    <xf numFmtId="0" fontId="25" fillId="0" borderId="0" xfId="0" quotePrefix="1" applyFont="1"/>
    <xf numFmtId="0" fontId="26" fillId="0" borderId="0" xfId="0" applyFont="1" applyAlignment="1">
      <alignment wrapText="1"/>
    </xf>
    <xf numFmtId="0" fontId="24" fillId="0" borderId="0" xfId="0" applyFont="1"/>
    <xf numFmtId="8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0" fontId="31" fillId="0" borderId="0" xfId="0" applyFont="1" applyAlignment="1">
      <alignment horizontal="right" vertical="top"/>
    </xf>
    <xf numFmtId="0" fontId="32" fillId="0" borderId="0" xfId="0" applyFont="1" applyAlignment="1">
      <alignment horizontal="right" vertical="top"/>
    </xf>
    <xf numFmtId="0" fontId="31" fillId="0" borderId="0" xfId="0" applyFont="1" applyAlignment="1">
      <alignment horizontal="right"/>
    </xf>
    <xf numFmtId="0" fontId="31" fillId="0" borderId="0" xfId="0" applyFont="1"/>
    <xf numFmtId="39" fontId="33" fillId="0" borderId="0" xfId="0" applyNumberFormat="1" applyFont="1"/>
    <xf numFmtId="1" fontId="33" fillId="0" borderId="0" xfId="0" applyNumberFormat="1" applyFont="1"/>
    <xf numFmtId="10" fontId="33" fillId="0" borderId="0" xfId="0" applyNumberFormat="1" applyFont="1"/>
    <xf numFmtId="39" fontId="34" fillId="0" borderId="0" xfId="0" applyNumberFormat="1" applyFont="1" applyAlignment="1">
      <alignment vertical="top"/>
    </xf>
    <xf numFmtId="0" fontId="35" fillId="0" borderId="0" xfId="0" applyFont="1"/>
    <xf numFmtId="0" fontId="32" fillId="0" borderId="0" xfId="0" applyFont="1" applyAlignment="1">
      <alignment vertical="top"/>
    </xf>
    <xf numFmtId="0" fontId="9" fillId="0" borderId="0" xfId="0" applyFont="1" applyAlignment="1">
      <alignment horizontal="left" wrapText="1"/>
    </xf>
    <xf numFmtId="168" fontId="9" fillId="0" borderId="1" xfId="1" applyNumberFormat="1" applyFont="1" applyFill="1" applyBorder="1" applyAlignment="1">
      <alignment wrapText="1"/>
    </xf>
    <xf numFmtId="168" fontId="20" fillId="0" borderId="1" xfId="1" applyNumberFormat="1" applyFont="1" applyFill="1" applyBorder="1" applyAlignment="1">
      <alignment wrapText="1"/>
    </xf>
    <xf numFmtId="1" fontId="9" fillId="0" borderId="1" xfId="1" applyNumberFormat="1" applyFont="1" applyFill="1" applyBorder="1" applyAlignment="1">
      <alignment wrapText="1"/>
    </xf>
    <xf numFmtId="1" fontId="20" fillId="0" borderId="1" xfId="1" applyNumberFormat="1" applyFont="1" applyFill="1" applyBorder="1" applyAlignment="1">
      <alignment wrapText="1"/>
    </xf>
    <xf numFmtId="39" fontId="33" fillId="0" borderId="0" xfId="0" applyNumberFormat="1" applyFont="1" applyAlignment="1">
      <alignment horizontal="right"/>
    </xf>
    <xf numFmtId="1" fontId="33" fillId="0" borderId="0" xfId="0" applyNumberFormat="1" applyFont="1" applyAlignment="1">
      <alignment horizontal="right"/>
    </xf>
    <xf numFmtId="10" fontId="33" fillId="0" borderId="0" xfId="0" applyNumberFormat="1" applyFont="1" applyAlignment="1">
      <alignment horizontal="right"/>
    </xf>
    <xf numFmtId="2" fontId="0" fillId="0" borderId="0" xfId="0" applyNumberFormat="1"/>
    <xf numFmtId="8" fontId="20" fillId="0" borderId="0" xfId="0" applyNumberFormat="1" applyFont="1"/>
    <xf numFmtId="10" fontId="20" fillId="0" borderId="0" xfId="0" applyNumberFormat="1" applyFont="1"/>
    <xf numFmtId="4" fontId="12" fillId="8" borderId="21" xfId="0" applyNumberFormat="1" applyFont="1" applyFill="1" applyBorder="1" applyProtection="1">
      <protection hidden="1"/>
    </xf>
    <xf numFmtId="39" fontId="12" fillId="8" borderId="20" xfId="0" applyNumberFormat="1" applyFont="1" applyFill="1" applyBorder="1"/>
    <xf numFmtId="2" fontId="12" fillId="8" borderId="1" xfId="0" applyNumberFormat="1" applyFont="1" applyFill="1" applyBorder="1"/>
    <xf numFmtId="166" fontId="8" fillId="8" borderId="1" xfId="0" applyNumberFormat="1" applyFont="1" applyFill="1" applyBorder="1"/>
    <xf numFmtId="0" fontId="8" fillId="8" borderId="1" xfId="0" applyFont="1" applyFill="1" applyBorder="1"/>
    <xf numFmtId="166" fontId="0" fillId="8" borderId="1" xfId="0" applyNumberFormat="1" applyFill="1" applyBorder="1"/>
    <xf numFmtId="0" fontId="5" fillId="4" borderId="23" xfId="0" applyFont="1" applyFill="1" applyBorder="1"/>
    <xf numFmtId="2" fontId="8" fillId="4" borderId="20" xfId="0" applyNumberFormat="1" applyFont="1" applyFill="1" applyBorder="1"/>
    <xf numFmtId="2" fontId="0" fillId="4" borderId="20" xfId="0" applyNumberFormat="1" applyFill="1" applyBorder="1"/>
    <xf numFmtId="0" fontId="0" fillId="8" borderId="23" xfId="0" applyFill="1" applyBorder="1"/>
    <xf numFmtId="2" fontId="0" fillId="8" borderId="20" xfId="0" applyNumberFormat="1" applyFill="1" applyBorder="1"/>
    <xf numFmtId="2" fontId="0" fillId="0" borderId="24" xfId="0" applyNumberFormat="1" applyBorder="1"/>
    <xf numFmtId="39" fontId="36" fillId="8" borderId="20" xfId="0" applyNumberFormat="1" applyFont="1" applyFill="1" applyBorder="1"/>
    <xf numFmtId="10" fontId="0" fillId="0" borderId="0" xfId="3" applyNumberFormat="1" applyFont="1" applyFill="1" applyBorder="1" applyAlignment="1">
      <alignment vertical="top"/>
    </xf>
    <xf numFmtId="168" fontId="9" fillId="0" borderId="25" xfId="1" applyNumberFormat="1" applyFont="1" applyFill="1" applyBorder="1" applyAlignment="1">
      <alignment wrapText="1"/>
    </xf>
    <xf numFmtId="10" fontId="34" fillId="8" borderId="20" xfId="0" applyNumberFormat="1" applyFont="1" applyFill="1" applyBorder="1" applyAlignment="1">
      <alignment vertical="top"/>
    </xf>
    <xf numFmtId="39" fontId="34" fillId="8" borderId="22" xfId="0" applyNumberFormat="1" applyFont="1" applyFill="1" applyBorder="1" applyAlignment="1">
      <alignment vertical="top"/>
    </xf>
    <xf numFmtId="39" fontId="34" fillId="8" borderId="20" xfId="0" applyNumberFormat="1" applyFont="1" applyFill="1" applyBorder="1" applyAlignment="1">
      <alignment vertical="top"/>
    </xf>
    <xf numFmtId="0" fontId="0" fillId="10" borderId="23" xfId="0" applyFill="1" applyBorder="1"/>
    <xf numFmtId="10" fontId="0" fillId="8" borderId="26" xfId="0" applyNumberFormat="1" applyFill="1" applyBorder="1"/>
    <xf numFmtId="0" fontId="0" fillId="8" borderId="28" xfId="0" applyFill="1" applyBorder="1"/>
    <xf numFmtId="10" fontId="0" fillId="0" borderId="0" xfId="3" applyNumberFormat="1" applyFont="1"/>
    <xf numFmtId="0" fontId="0" fillId="7" borderId="1" xfId="0" applyFill="1" applyBorder="1"/>
    <xf numFmtId="10" fontId="0" fillId="8" borderId="20" xfId="0" applyNumberFormat="1" applyFill="1" applyBorder="1"/>
    <xf numFmtId="0" fontId="1" fillId="0" borderId="17" xfId="0" applyFont="1" applyBorder="1"/>
    <xf numFmtId="0" fontId="1" fillId="0" borderId="18" xfId="0" applyFont="1" applyBorder="1"/>
    <xf numFmtId="0" fontId="1" fillId="0" borderId="13" xfId="0" applyFont="1" applyBorder="1"/>
    <xf numFmtId="0" fontId="37" fillId="0" borderId="0" xfId="0" applyFont="1"/>
    <xf numFmtId="9" fontId="8" fillId="11" borderId="27" xfId="0" applyNumberFormat="1" applyFont="1" applyFill="1" applyBorder="1"/>
    <xf numFmtId="2" fontId="0" fillId="5" borderId="1" xfId="0" applyNumberFormat="1" applyFill="1" applyBorder="1"/>
    <xf numFmtId="0" fontId="0" fillId="12" borderId="0" xfId="0" applyFill="1" applyAlignment="1">
      <alignment horizontal="left" wrapText="1"/>
    </xf>
    <xf numFmtId="9" fontId="0" fillId="12" borderId="0" xfId="0" applyNumberFormat="1" applyFill="1" applyAlignment="1">
      <alignment horizontal="left" wrapText="1"/>
    </xf>
    <xf numFmtId="2" fontId="0" fillId="0" borderId="1" xfId="0" applyNumberFormat="1" applyBorder="1"/>
    <xf numFmtId="169" fontId="0" fillId="0" borderId="1" xfId="0" applyNumberFormat="1" applyBorder="1"/>
    <xf numFmtId="0" fontId="12" fillId="0" borderId="0" xfId="0" applyFont="1" applyAlignment="1" applyProtection="1">
      <alignment horizontal="center"/>
      <protection hidden="1"/>
    </xf>
    <xf numFmtId="170" fontId="38" fillId="0" borderId="0" xfId="0" applyNumberFormat="1" applyFont="1"/>
    <xf numFmtId="0" fontId="8" fillId="0" borderId="0" xfId="0" applyFont="1"/>
    <xf numFmtId="170" fontId="8" fillId="0" borderId="0" xfId="0" applyNumberFormat="1" applyFont="1"/>
    <xf numFmtId="0" fontId="38" fillId="0" borderId="18" xfId="0" applyFont="1" applyBorder="1"/>
    <xf numFmtId="0" fontId="39" fillId="0" borderId="18" xfId="0" applyFont="1" applyBorder="1"/>
    <xf numFmtId="0" fontId="39" fillId="0" borderId="0" xfId="0" applyFont="1"/>
    <xf numFmtId="171" fontId="0" fillId="0" borderId="0" xfId="0" applyNumberFormat="1"/>
    <xf numFmtId="0" fontId="40" fillId="0" borderId="0" xfId="0" applyFont="1" applyAlignment="1">
      <alignment horizontal="left" indent="1"/>
    </xf>
    <xf numFmtId="9" fontId="41" fillId="0" borderId="0" xfId="3" applyFont="1"/>
    <xf numFmtId="9" fontId="42" fillId="0" borderId="0" xfId="3" applyFont="1"/>
    <xf numFmtId="0" fontId="40" fillId="0" borderId="0" xfId="0" applyFont="1" applyAlignment="1">
      <alignment horizontal="right"/>
    </xf>
    <xf numFmtId="10" fontId="8" fillId="0" borderId="0" xfId="0" applyNumberFormat="1" applyFont="1"/>
    <xf numFmtId="171" fontId="39" fillId="0" borderId="0" xfId="0" applyNumberFormat="1" applyFont="1"/>
    <xf numFmtId="9" fontId="38" fillId="0" borderId="0" xfId="0" applyNumberFormat="1" applyFont="1"/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right"/>
    </xf>
    <xf numFmtId="0" fontId="44" fillId="0" borderId="0" xfId="0" applyFont="1" applyAlignment="1">
      <alignment horizontal="right" vertical="center"/>
    </xf>
    <xf numFmtId="0" fontId="38" fillId="0" borderId="1" xfId="0" applyFont="1" applyBorder="1"/>
    <xf numFmtId="0" fontId="38" fillId="13" borderId="1" xfId="0" applyFont="1" applyFill="1" applyBorder="1"/>
    <xf numFmtId="0" fontId="39" fillId="13" borderId="1" xfId="0" applyFont="1" applyFill="1" applyBorder="1"/>
    <xf numFmtId="9" fontId="42" fillId="14" borderId="25" xfId="3" applyFont="1" applyFill="1" applyBorder="1"/>
    <xf numFmtId="0" fontId="39" fillId="14" borderId="1" xfId="0" applyFont="1" applyFill="1" applyBorder="1"/>
    <xf numFmtId="0" fontId="38" fillId="14" borderId="1" xfId="0" applyFont="1" applyFill="1" applyBorder="1"/>
    <xf numFmtId="0" fontId="39" fillId="13" borderId="2" xfId="0" applyFont="1" applyFill="1" applyBorder="1"/>
    <xf numFmtId="0" fontId="38" fillId="0" borderId="3" xfId="0" applyFont="1" applyBorder="1"/>
    <xf numFmtId="0" fontId="8" fillId="0" borderId="3" xfId="0" applyFont="1" applyBorder="1"/>
    <xf numFmtId="0" fontId="39" fillId="13" borderId="10" xfId="0" applyFont="1" applyFill="1" applyBorder="1"/>
    <xf numFmtId="169" fontId="39" fillId="13" borderId="1" xfId="0" applyNumberFormat="1" applyFont="1" applyFill="1" applyBorder="1"/>
    <xf numFmtId="171" fontId="39" fillId="13" borderId="1" xfId="0" applyNumberFormat="1" applyFont="1" applyFill="1" applyBorder="1"/>
    <xf numFmtId="0" fontId="39" fillId="2" borderId="1" xfId="0" applyFont="1" applyFill="1" applyBorder="1"/>
    <xf numFmtId="172" fontId="9" fillId="0" borderId="0" xfId="1" applyNumberFormat="1" applyFont="1" applyFill="1" applyBorder="1" applyAlignment="1"/>
    <xf numFmtId="0" fontId="45" fillId="5" borderId="1" xfId="0" applyFont="1" applyFill="1" applyBorder="1"/>
    <xf numFmtId="0" fontId="0" fillId="12" borderId="0" xfId="0" applyFill="1" applyAlignment="1">
      <alignment horizontal="left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wrapText="1"/>
    </xf>
    <xf numFmtId="0" fontId="20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9" fillId="0" borderId="0" xfId="0" applyFont="1" applyAlignment="1">
      <alignment horizontal="left" wrapText="1"/>
    </xf>
  </cellXfs>
  <cellStyles count="4">
    <cellStyle name="Currency" xfId="1" builtinId="4"/>
    <cellStyle name="Normal" xfId="0" builtinId="0"/>
    <cellStyle name="Normal_chapter 5 revision 3 " xfId="2" xr:uid="{00000000-0005-0000-0000-000002000000}"/>
    <cellStyle name="Percent" xfId="3" builtinId="5"/>
  </cellStyles>
  <dxfs count="0"/>
  <tableStyles count="0" defaultTableStyle="TableStyleMedium2" defaultPivotStyle="PivotStyleLight16"/>
  <colors>
    <mruColors>
      <color rgb="FFFFFF66"/>
      <color rgb="FFFFFFCC"/>
      <color rgb="FFB5E3D8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NPV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marker>
            <c:symbol val="none"/>
          </c:marker>
          <c:dPt>
            <c:idx val="13"/>
            <c:bubble3D val="0"/>
            <c:spPr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DE5-4273-AECF-65787CDC161F}"/>
              </c:ext>
            </c:extLst>
          </c:dPt>
          <c:cat>
            <c:numRef>
              <c:f>'Example pp.207-208'!$B$8:$B$29</c:f>
              <c:numCache>
                <c:formatCode>0%</c:formatCode>
                <c:ptCount val="22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0.2</c:v>
                </c:pt>
                <c:pt idx="19">
                  <c:v>0.21</c:v>
                </c:pt>
                <c:pt idx="20">
                  <c:v>0.25</c:v>
                </c:pt>
                <c:pt idx="21">
                  <c:v>0.3</c:v>
                </c:pt>
              </c:numCache>
            </c:numRef>
          </c:cat>
          <c:val>
            <c:numRef>
              <c:f>'Example pp.207-208'!$C$8:$C$29</c:f>
              <c:numCache>
                <c:formatCode>0.000</c:formatCode>
                <c:ptCount val="22"/>
                <c:pt idx="0">
                  <c:v>1750</c:v>
                </c:pt>
                <c:pt idx="1">
                  <c:v>750</c:v>
                </c:pt>
                <c:pt idx="2">
                  <c:v>416.66666666666674</c:v>
                </c:pt>
                <c:pt idx="3">
                  <c:v>250</c:v>
                </c:pt>
                <c:pt idx="4">
                  <c:v>150</c:v>
                </c:pt>
                <c:pt idx="5">
                  <c:v>83.333333333333371</c:v>
                </c:pt>
                <c:pt idx="6">
                  <c:v>35.714285714285666</c:v>
                </c:pt>
                <c:pt idx="7">
                  <c:v>0</c:v>
                </c:pt>
                <c:pt idx="8">
                  <c:v>-27.777777777777771</c:v>
                </c:pt>
                <c:pt idx="9">
                  <c:v>-50</c:v>
                </c:pt>
                <c:pt idx="10">
                  <c:v>-68.181818181818187</c:v>
                </c:pt>
                <c:pt idx="11">
                  <c:v>-83.333333333333314</c:v>
                </c:pt>
                <c:pt idx="12">
                  <c:v>-96.15384615384616</c:v>
                </c:pt>
                <c:pt idx="13">
                  <c:v>-107.14285714285717</c:v>
                </c:pt>
                <c:pt idx="14">
                  <c:v>-116.66666666666666</c:v>
                </c:pt>
                <c:pt idx="15">
                  <c:v>-125</c:v>
                </c:pt>
                <c:pt idx="16">
                  <c:v>-132.35294117647061</c:v>
                </c:pt>
                <c:pt idx="17">
                  <c:v>-138.88888888888889</c:v>
                </c:pt>
                <c:pt idx="18">
                  <c:v>-150</c:v>
                </c:pt>
                <c:pt idx="19">
                  <c:v>-154.76190476190476</c:v>
                </c:pt>
                <c:pt idx="20">
                  <c:v>-170</c:v>
                </c:pt>
                <c:pt idx="21">
                  <c:v>-183.33333333333331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E5-4273-AECF-65787CDC1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smooth val="0"/>
        <c:axId val="119442280"/>
        <c:axId val="174438504"/>
      </c:lineChart>
      <c:catAx>
        <c:axId val="11944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Discount</a:t>
                </a:r>
                <a:r>
                  <a:rPr lang="fr-FR" baseline="0"/>
                  <a:t> Rate</a:t>
                </a:r>
                <a:endParaRPr lang="fr-FR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crossAx val="174438504"/>
        <c:crosses val="autoZero"/>
        <c:auto val="1"/>
        <c:lblAlgn val="ctr"/>
        <c:lblOffset val="100"/>
        <c:noMultiLvlLbl val="0"/>
      </c:catAx>
      <c:valAx>
        <c:axId val="174438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NPV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19442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8</xdr:col>
      <xdr:colOff>666750</xdr:colOff>
      <xdr:row>10</xdr:row>
      <xdr:rowOff>13177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7591425" cy="1708627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13</xdr:row>
      <xdr:rowOff>19049</xdr:rowOff>
    </xdr:from>
    <xdr:to>
      <xdr:col>12</xdr:col>
      <xdr:colOff>133350</xdr:colOff>
      <xdr:row>16</xdr:row>
      <xdr:rowOff>634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543550" y="2505074"/>
          <a:ext cx="4562475" cy="598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8</xdr:row>
      <xdr:rowOff>0</xdr:rowOff>
    </xdr:from>
    <xdr:to>
      <xdr:col>2</xdr:col>
      <xdr:colOff>323850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2505075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8</xdr:row>
      <xdr:rowOff>0</xdr:rowOff>
    </xdr:from>
    <xdr:to>
      <xdr:col>3</xdr:col>
      <xdr:colOff>323850</xdr:colOff>
      <xdr:row>8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>
          <a:off x="3571875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8</xdr:row>
      <xdr:rowOff>0</xdr:rowOff>
    </xdr:from>
    <xdr:to>
      <xdr:col>4</xdr:col>
      <xdr:colOff>304800</xdr:colOff>
      <xdr:row>8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>
          <a:off x="4448175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8</xdr:row>
      <xdr:rowOff>0</xdr:rowOff>
    </xdr:from>
    <xdr:to>
      <xdr:col>5</xdr:col>
      <xdr:colOff>314325</xdr:colOff>
      <xdr:row>8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5372100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8</xdr:row>
      <xdr:rowOff>0</xdr:rowOff>
    </xdr:from>
    <xdr:to>
      <xdr:col>6</xdr:col>
      <xdr:colOff>304800</xdr:colOff>
      <xdr:row>8</xdr:row>
      <xdr:rowOff>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6210300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304800</xdr:colOff>
      <xdr:row>8</xdr:row>
      <xdr:rowOff>0</xdr:rowOff>
    </xdr:from>
    <xdr:to>
      <xdr:col>7</xdr:col>
      <xdr:colOff>304800</xdr:colOff>
      <xdr:row>8</xdr:row>
      <xdr:rowOff>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7058025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314325</xdr:colOff>
      <xdr:row>8</xdr:row>
      <xdr:rowOff>0</xdr:rowOff>
    </xdr:from>
    <xdr:to>
      <xdr:col>8</xdr:col>
      <xdr:colOff>314325</xdr:colOff>
      <xdr:row>8</xdr:row>
      <xdr:rowOff>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 bwMode="auto">
        <a:xfrm>
          <a:off x="7915275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314325</xdr:colOff>
      <xdr:row>8</xdr:row>
      <xdr:rowOff>0</xdr:rowOff>
    </xdr:from>
    <xdr:to>
      <xdr:col>9</xdr:col>
      <xdr:colOff>314325</xdr:colOff>
      <xdr:row>8</xdr:row>
      <xdr:rowOff>0</xdr:rowOff>
    </xdr:to>
    <xdr:sp macro="" textlink="">
      <xdr:nvSpPr>
        <xdr:cNvPr id="10" name="Lin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 bwMode="auto">
        <a:xfrm>
          <a:off x="8763000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285750</xdr:colOff>
      <xdr:row>8</xdr:row>
      <xdr:rowOff>0</xdr:rowOff>
    </xdr:from>
    <xdr:to>
      <xdr:col>10</xdr:col>
      <xdr:colOff>285750</xdr:colOff>
      <xdr:row>8</xdr:row>
      <xdr:rowOff>0</xdr:rowOff>
    </xdr:to>
    <xdr:sp macro="" textlink="">
      <xdr:nvSpPr>
        <xdr:cNvPr id="11" name="Lin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>
          <a:off x="9582150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314325</xdr:colOff>
      <xdr:row>8</xdr:row>
      <xdr:rowOff>0</xdr:rowOff>
    </xdr:from>
    <xdr:to>
      <xdr:col>11</xdr:col>
      <xdr:colOff>314325</xdr:colOff>
      <xdr:row>8</xdr:row>
      <xdr:rowOff>0</xdr:rowOff>
    </xdr:to>
    <xdr:sp macro="" textlink="">
      <xdr:nvSpPr>
        <xdr:cNvPr id="12" name="Lin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10458450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314325</xdr:colOff>
      <xdr:row>8</xdr:row>
      <xdr:rowOff>0</xdr:rowOff>
    </xdr:from>
    <xdr:to>
      <xdr:col>12</xdr:col>
      <xdr:colOff>314325</xdr:colOff>
      <xdr:row>8</xdr:row>
      <xdr:rowOff>0</xdr:rowOff>
    </xdr:to>
    <xdr:sp macro="" textlink="">
      <xdr:nvSpPr>
        <xdr:cNvPr id="13" name="Lin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 bwMode="auto">
        <a:xfrm>
          <a:off x="11306175" y="250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477931</xdr:colOff>
      <xdr:row>1</xdr:row>
      <xdr:rowOff>480172</xdr:rowOff>
    </xdr:from>
    <xdr:to>
      <xdr:col>9</xdr:col>
      <xdr:colOff>238785</xdr:colOff>
      <xdr:row>4</xdr:row>
      <xdr:rowOff>219698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1107" y="715496"/>
          <a:ext cx="5210087" cy="986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6</xdr:row>
      <xdr:rowOff>119268</xdr:rowOff>
    </xdr:from>
    <xdr:to>
      <xdr:col>9</xdr:col>
      <xdr:colOff>438150</xdr:colOff>
      <xdr:row>10</xdr:row>
      <xdr:rowOff>47508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1271793"/>
          <a:ext cx="2257425" cy="7473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494393</xdr:colOff>
      <xdr:row>5</xdr:row>
      <xdr:rowOff>104643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57143" cy="10571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</xdr:pic>
    <xdr:clientData/>
  </xdr:twoCellAnchor>
  <xdr:twoCellAnchor editAs="oneCell">
    <xdr:from>
      <xdr:col>8</xdr:col>
      <xdr:colOff>752475</xdr:colOff>
      <xdr:row>1</xdr:row>
      <xdr:rowOff>76200</xdr:rowOff>
    </xdr:from>
    <xdr:to>
      <xdr:col>14</xdr:col>
      <xdr:colOff>113809</xdr:colOff>
      <xdr:row>6</xdr:row>
      <xdr:rowOff>66557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5225" y="266700"/>
          <a:ext cx="3933334" cy="9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3</xdr:row>
      <xdr:rowOff>57150</xdr:rowOff>
    </xdr:from>
    <xdr:to>
      <xdr:col>7</xdr:col>
      <xdr:colOff>736098</xdr:colOff>
      <xdr:row>7</xdr:row>
      <xdr:rowOff>164987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0" y="1285875"/>
          <a:ext cx="4019048" cy="9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8</xdr:col>
      <xdr:colOff>285238</xdr:colOff>
      <xdr:row>17</xdr:row>
      <xdr:rowOff>152256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3286125"/>
          <a:ext cx="4095238" cy="1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7</xdr:col>
      <xdr:colOff>675353</xdr:colOff>
      <xdr:row>4</xdr:row>
      <xdr:rowOff>218937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7380953" cy="11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8</xdr:row>
      <xdr:rowOff>47625</xdr:rowOff>
    </xdr:from>
    <xdr:to>
      <xdr:col>9</xdr:col>
      <xdr:colOff>628044</xdr:colOff>
      <xdr:row>12</xdr:row>
      <xdr:rowOff>37981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0025" y="1905000"/>
          <a:ext cx="4847619" cy="9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7</xdr:row>
      <xdr:rowOff>180974</xdr:rowOff>
    </xdr:from>
    <xdr:to>
      <xdr:col>13</xdr:col>
      <xdr:colOff>647700</xdr:colOff>
      <xdr:row>31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7</xdr:row>
      <xdr:rowOff>228600</xdr:rowOff>
    </xdr:from>
    <xdr:to>
      <xdr:col>9</xdr:col>
      <xdr:colOff>551812</xdr:colOff>
      <xdr:row>11</xdr:row>
      <xdr:rowOff>218957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0" y="2524125"/>
          <a:ext cx="5104762" cy="9428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542419</xdr:colOff>
      <xdr:row>6</xdr:row>
      <xdr:rowOff>38000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81000"/>
          <a:ext cx="4047619" cy="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152399</xdr:colOff>
      <xdr:row>4</xdr:row>
      <xdr:rowOff>83028</xdr:rowOff>
    </xdr:from>
    <xdr:to>
      <xdr:col>13</xdr:col>
      <xdr:colOff>737192</xdr:colOff>
      <xdr:row>17</xdr:row>
      <xdr:rowOff>53665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2149" y="845028"/>
          <a:ext cx="5423493" cy="2447137"/>
        </a:xfrm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25</xdr:row>
      <xdr:rowOff>9525</xdr:rowOff>
    </xdr:from>
    <xdr:to>
      <xdr:col>13</xdr:col>
      <xdr:colOff>440331</xdr:colOff>
      <xdr:row>44</xdr:row>
      <xdr:rowOff>151583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86150" y="4876800"/>
          <a:ext cx="7584081" cy="3761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K36"/>
  <sheetViews>
    <sheetView zoomScale="115" zoomScaleNormal="115" workbookViewId="0">
      <selection activeCell="B33" sqref="B33"/>
    </sheetView>
  </sheetViews>
  <sheetFormatPr defaultColWidth="11.42578125" defaultRowHeight="14.45"/>
  <cols>
    <col min="2" max="2" width="23.85546875" customWidth="1"/>
  </cols>
  <sheetData>
    <row r="1" spans="1:6">
      <c r="A1" s="1" t="s">
        <v>0</v>
      </c>
    </row>
    <row r="12" spans="1:6">
      <c r="B12" s="3" t="s">
        <v>1</v>
      </c>
      <c r="C12" s="2">
        <v>0.1</v>
      </c>
    </row>
    <row r="13" spans="1:6" ht="15" thickBot="1"/>
    <row r="14" spans="1:6">
      <c r="B14" s="43" t="s">
        <v>2</v>
      </c>
      <c r="C14" s="44">
        <v>0</v>
      </c>
      <c r="D14" s="44">
        <v>1</v>
      </c>
      <c r="E14" s="44">
        <v>2</v>
      </c>
      <c r="F14" s="45">
        <v>3</v>
      </c>
    </row>
    <row r="15" spans="1:6">
      <c r="B15" s="46" t="s">
        <v>3</v>
      </c>
      <c r="C15" s="5">
        <v>1000</v>
      </c>
      <c r="D15" s="5"/>
      <c r="E15" s="5"/>
      <c r="F15" s="47"/>
    </row>
    <row r="16" spans="1:6" ht="17.100000000000001" thickBot="1">
      <c r="B16" s="48" t="s">
        <v>4</v>
      </c>
      <c r="C16" s="49"/>
      <c r="D16" s="49">
        <v>500</v>
      </c>
      <c r="E16" s="49">
        <v>500</v>
      </c>
      <c r="F16" s="50">
        <v>500</v>
      </c>
    </row>
    <row r="18" spans="1:11" ht="17.45">
      <c r="B18" s="6" t="s">
        <v>5</v>
      </c>
      <c r="C18" s="7"/>
      <c r="D18" s="8">
        <f>D16/(1+$C$12)^D14</f>
        <v>454.5454545454545</v>
      </c>
      <c r="E18" s="8">
        <f>E16/(1+$C$12)^E14</f>
        <v>413.22314049586771</v>
      </c>
      <c r="F18" s="8">
        <f t="shared" ref="F18" si="0">F16/(1+$C$12)^F14</f>
        <v>375.65740045078877</v>
      </c>
    </row>
    <row r="20" spans="1:11" ht="18.75" customHeight="1">
      <c r="B20" s="10" t="s">
        <v>6</v>
      </c>
      <c r="C20" s="11">
        <f>C15/(1+$C$12)^C14</f>
        <v>1000</v>
      </c>
      <c r="D20" s="9"/>
      <c r="E20" s="51" t="s">
        <v>7</v>
      </c>
      <c r="F20" s="42">
        <f>SUM(D18:F18)</f>
        <v>1243.425995492111</v>
      </c>
      <c r="G20" s="52">
        <f>NPV(C12,D16:F16)</f>
        <v>1243.425995492111</v>
      </c>
      <c r="J20" s="12"/>
      <c r="K20" s="12"/>
    </row>
    <row r="21" spans="1:11" ht="18.75" customHeight="1">
      <c r="F21" s="42">
        <f>-PV($C$12,F14,F16)</f>
        <v>1243.4259954921124</v>
      </c>
      <c r="G21" t="s">
        <v>8</v>
      </c>
      <c r="J21" s="12"/>
      <c r="K21" s="12"/>
    </row>
    <row r="22" spans="1:11" ht="16.5">
      <c r="B22" s="40" t="s">
        <v>9</v>
      </c>
      <c r="C22" s="149">
        <f>F20-C20</f>
        <v>243.42599549211104</v>
      </c>
      <c r="E22" s="12"/>
    </row>
    <row r="23" spans="1:11">
      <c r="C23" s="149">
        <f>NPV(C12,D16:F16)-C15</f>
        <v>243.42599549211104</v>
      </c>
      <c r="E23" t="str">
        <f>IF(C22&lt;0,"So we reject the opportunity.","So we accept this opportunity.")</f>
        <v>So we accept this opportunity.</v>
      </c>
      <c r="H23" s="12"/>
    </row>
    <row r="24" spans="1:11">
      <c r="E24" s="4"/>
    </row>
    <row r="25" spans="1:11">
      <c r="A25" s="57" t="s">
        <v>10</v>
      </c>
    </row>
    <row r="26" spans="1:11" ht="15" thickBot="1">
      <c r="C26" s="53"/>
      <c r="G26" s="4"/>
    </row>
    <row r="27" spans="1:11">
      <c r="B27" s="43" t="s">
        <v>2</v>
      </c>
      <c r="C27" s="44">
        <v>0</v>
      </c>
      <c r="D27" s="44">
        <v>1</v>
      </c>
      <c r="E27" s="44">
        <v>2</v>
      </c>
      <c r="F27" s="45">
        <v>3</v>
      </c>
      <c r="G27" s="4"/>
    </row>
    <row r="28" spans="1:11">
      <c r="B28" s="46" t="s">
        <v>11</v>
      </c>
      <c r="C28" s="5">
        <v>-1000</v>
      </c>
      <c r="D28" s="5">
        <v>500</v>
      </c>
      <c r="E28" s="5">
        <v>500</v>
      </c>
      <c r="F28" s="47">
        <v>500</v>
      </c>
      <c r="G28" s="4"/>
    </row>
    <row r="29" spans="1:11">
      <c r="C29" s="53"/>
      <c r="G29" s="4"/>
    </row>
    <row r="30" spans="1:11" ht="16.5">
      <c r="B30" s="40" t="s">
        <v>9</v>
      </c>
      <c r="C30" s="149">
        <f>C28-PV(C12,3,D28)</f>
        <v>243.42599549211241</v>
      </c>
      <c r="D30" s="12"/>
      <c r="G30" s="4"/>
    </row>
    <row r="31" spans="1:11">
      <c r="C31" s="53"/>
      <c r="G31" s="4"/>
    </row>
    <row r="32" spans="1:11">
      <c r="C32" s="53"/>
      <c r="G32" s="4"/>
    </row>
    <row r="33" spans="3:7">
      <c r="C33" s="53"/>
      <c r="G33" s="4"/>
    </row>
    <row r="34" spans="3:7">
      <c r="C34" s="53"/>
      <c r="G34" s="4"/>
    </row>
    <row r="35" spans="3:7">
      <c r="C35" s="53"/>
    </row>
    <row r="36" spans="3:7">
      <c r="C36" s="5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66"/>
  </sheetPr>
  <dimension ref="A1:K20"/>
  <sheetViews>
    <sheetView zoomScale="130" zoomScaleNormal="130" workbookViewId="0">
      <selection activeCell="B15" sqref="B15"/>
    </sheetView>
  </sheetViews>
  <sheetFormatPr defaultRowHeight="14.45"/>
  <cols>
    <col min="1" max="1" width="10.5703125" customWidth="1"/>
    <col min="2" max="2" width="17.85546875" customWidth="1"/>
    <col min="3" max="3" width="16.85546875" customWidth="1"/>
  </cols>
  <sheetData>
    <row r="1" spans="1:11">
      <c r="A1" s="57" t="s">
        <v>12</v>
      </c>
    </row>
    <row r="2" spans="1:11">
      <c r="A2" s="57" t="s">
        <v>13</v>
      </c>
      <c r="B2" s="188" t="s">
        <v>14</v>
      </c>
      <c r="C2" s="188"/>
      <c r="D2" s="188"/>
      <c r="E2" s="188"/>
      <c r="F2" s="188"/>
      <c r="G2" s="188"/>
      <c r="H2" s="188"/>
      <c r="I2" s="188"/>
      <c r="J2" s="188"/>
      <c r="K2" s="188"/>
    </row>
    <row r="3" spans="1:11">
      <c r="B3" s="188"/>
      <c r="C3" s="188"/>
      <c r="D3" s="188"/>
      <c r="E3" s="188"/>
      <c r="F3" s="188"/>
      <c r="G3" s="188"/>
      <c r="H3" s="188"/>
      <c r="I3" s="188"/>
      <c r="J3" s="188"/>
      <c r="K3" s="188"/>
    </row>
    <row r="4" spans="1:11">
      <c r="B4" s="150" t="s">
        <v>15</v>
      </c>
      <c r="C4" s="151">
        <v>0.04</v>
      </c>
      <c r="D4" s="150"/>
      <c r="E4" s="150"/>
      <c r="F4" s="150"/>
      <c r="G4" s="150"/>
      <c r="H4" s="150"/>
      <c r="I4" s="150"/>
      <c r="J4" s="150"/>
      <c r="K4" s="150"/>
    </row>
    <row r="6" spans="1:11"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</row>
    <row r="7" spans="1:11">
      <c r="B7" s="5" t="s">
        <v>11</v>
      </c>
      <c r="C7" s="5">
        <v>15000</v>
      </c>
      <c r="D7" s="5">
        <v>3500</v>
      </c>
      <c r="E7" s="5">
        <v>3500</v>
      </c>
      <c r="F7" s="5">
        <v>3500</v>
      </c>
      <c r="G7" s="5">
        <v>-18000</v>
      </c>
    </row>
    <row r="8" spans="1:11" ht="13.7" customHeight="1"/>
    <row r="10" spans="1:11">
      <c r="B10" s="5" t="s">
        <v>22</v>
      </c>
      <c r="C10" s="152"/>
      <c r="D10">
        <v>8967.637670922968</v>
      </c>
    </row>
    <row r="13" spans="1:11">
      <c r="A13" s="57" t="s">
        <v>23</v>
      </c>
      <c r="B13" s="188" t="s">
        <v>24</v>
      </c>
      <c r="C13" s="188"/>
      <c r="D13" s="188"/>
      <c r="E13" s="188"/>
      <c r="F13" s="188"/>
      <c r="G13" s="188"/>
      <c r="H13" s="188"/>
      <c r="I13" s="188"/>
      <c r="J13" s="188"/>
      <c r="K13" s="188"/>
    </row>
    <row r="14" spans="1:11">
      <c r="B14" s="188"/>
      <c r="C14" s="188"/>
      <c r="D14" s="188"/>
      <c r="E14" s="188"/>
      <c r="F14" s="188"/>
      <c r="G14" s="188"/>
      <c r="H14" s="188"/>
      <c r="I14" s="188"/>
      <c r="J14" s="188"/>
      <c r="K14" s="188"/>
    </row>
    <row r="15" spans="1:11">
      <c r="B15" s="150" t="s">
        <v>15</v>
      </c>
      <c r="C15" s="151">
        <v>0.04</v>
      </c>
      <c r="D15" s="150"/>
      <c r="E15" s="150"/>
      <c r="F15" s="150"/>
      <c r="G15" s="150"/>
      <c r="H15" s="150"/>
      <c r="I15" s="150"/>
      <c r="J15" s="150"/>
      <c r="K15" s="150"/>
    </row>
    <row r="17" spans="2:7">
      <c r="B17" s="5" t="s">
        <v>16</v>
      </c>
      <c r="C17" s="5" t="s">
        <v>25</v>
      </c>
      <c r="D17" s="5" t="s">
        <v>17</v>
      </c>
      <c r="E17" s="5" t="s">
        <v>18</v>
      </c>
      <c r="F17" s="5" t="s">
        <v>19</v>
      </c>
      <c r="G17" s="5" t="s">
        <v>20</v>
      </c>
    </row>
    <row r="18" spans="2:7">
      <c r="B18" s="5" t="s">
        <v>11</v>
      </c>
      <c r="C18" s="5">
        <v>15000</v>
      </c>
      <c r="D18" s="5">
        <v>3500</v>
      </c>
      <c r="E18" s="5">
        <v>3500</v>
      </c>
      <c r="F18" s="5">
        <v>3500</v>
      </c>
      <c r="G18" s="5">
        <v>-18000</v>
      </c>
    </row>
    <row r="20" spans="2:7">
      <c r="B20" s="5" t="s">
        <v>22</v>
      </c>
      <c r="C20" s="153"/>
      <c r="D20">
        <v>9326.3431777598817</v>
      </c>
    </row>
  </sheetData>
  <mergeCells count="2">
    <mergeCell ref="B2:K3"/>
    <mergeCell ref="B13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N49"/>
  <sheetViews>
    <sheetView zoomScale="55" zoomScaleNormal="55" workbookViewId="0">
      <selection activeCell="C15" sqref="C15"/>
    </sheetView>
  </sheetViews>
  <sheetFormatPr defaultColWidth="8.85546875" defaultRowHeight="14.45"/>
  <cols>
    <col min="1" max="1" width="5.42578125" customWidth="1"/>
    <col min="2" max="2" width="34.42578125" customWidth="1"/>
    <col min="3" max="3" width="16" bestFit="1" customWidth="1"/>
    <col min="4" max="4" width="13.42578125" customWidth="1"/>
    <col min="5" max="5" width="17.140625" customWidth="1"/>
    <col min="6" max="9" width="12.5703125" customWidth="1"/>
    <col min="10" max="10" width="16.5703125" customWidth="1"/>
    <col min="11" max="11" width="12.5703125" customWidth="1"/>
    <col min="12" max="12" width="19" customWidth="1"/>
    <col min="13" max="13" width="14.42578125" bestFit="1" customWidth="1"/>
    <col min="258" max="258" width="23.85546875" customWidth="1"/>
    <col min="259" max="259" width="16" bestFit="1" customWidth="1"/>
    <col min="260" max="260" width="13.42578125" customWidth="1"/>
    <col min="261" max="261" width="13.5703125" customWidth="1"/>
    <col min="262" max="268" width="12.5703125" customWidth="1"/>
    <col min="269" max="269" width="14.42578125" bestFit="1" customWidth="1"/>
    <col min="514" max="514" width="23.85546875" customWidth="1"/>
    <col min="515" max="515" width="16" bestFit="1" customWidth="1"/>
    <col min="516" max="516" width="13.42578125" customWidth="1"/>
    <col min="517" max="517" width="13.5703125" customWidth="1"/>
    <col min="518" max="524" width="12.5703125" customWidth="1"/>
    <col min="525" max="525" width="14.42578125" bestFit="1" customWidth="1"/>
    <col min="770" max="770" width="23.85546875" customWidth="1"/>
    <col min="771" max="771" width="16" bestFit="1" customWidth="1"/>
    <col min="772" max="772" width="13.42578125" customWidth="1"/>
    <col min="773" max="773" width="13.5703125" customWidth="1"/>
    <col min="774" max="780" width="12.5703125" customWidth="1"/>
    <col min="781" max="781" width="14.42578125" bestFit="1" customWidth="1"/>
    <col min="1026" max="1026" width="23.85546875" customWidth="1"/>
    <col min="1027" max="1027" width="16" bestFit="1" customWidth="1"/>
    <col min="1028" max="1028" width="13.42578125" customWidth="1"/>
    <col min="1029" max="1029" width="13.5703125" customWidth="1"/>
    <col min="1030" max="1036" width="12.5703125" customWidth="1"/>
    <col min="1037" max="1037" width="14.42578125" bestFit="1" customWidth="1"/>
    <col min="1282" max="1282" width="23.85546875" customWidth="1"/>
    <col min="1283" max="1283" width="16" bestFit="1" customWidth="1"/>
    <col min="1284" max="1284" width="13.42578125" customWidth="1"/>
    <col min="1285" max="1285" width="13.5703125" customWidth="1"/>
    <col min="1286" max="1292" width="12.5703125" customWidth="1"/>
    <col min="1293" max="1293" width="14.42578125" bestFit="1" customWidth="1"/>
    <col min="1538" max="1538" width="23.85546875" customWidth="1"/>
    <col min="1539" max="1539" width="16" bestFit="1" customWidth="1"/>
    <col min="1540" max="1540" width="13.42578125" customWidth="1"/>
    <col min="1541" max="1541" width="13.5703125" customWidth="1"/>
    <col min="1542" max="1548" width="12.5703125" customWidth="1"/>
    <col min="1549" max="1549" width="14.42578125" bestFit="1" customWidth="1"/>
    <col min="1794" max="1794" width="23.85546875" customWidth="1"/>
    <col min="1795" max="1795" width="16" bestFit="1" customWidth="1"/>
    <col min="1796" max="1796" width="13.42578125" customWidth="1"/>
    <col min="1797" max="1797" width="13.5703125" customWidth="1"/>
    <col min="1798" max="1804" width="12.5703125" customWidth="1"/>
    <col min="1805" max="1805" width="14.42578125" bestFit="1" customWidth="1"/>
    <col min="2050" max="2050" width="23.85546875" customWidth="1"/>
    <col min="2051" max="2051" width="16" bestFit="1" customWidth="1"/>
    <col min="2052" max="2052" width="13.42578125" customWidth="1"/>
    <col min="2053" max="2053" width="13.5703125" customWidth="1"/>
    <col min="2054" max="2060" width="12.5703125" customWidth="1"/>
    <col min="2061" max="2061" width="14.42578125" bestFit="1" customWidth="1"/>
    <col min="2306" max="2306" width="23.85546875" customWidth="1"/>
    <col min="2307" max="2307" width="16" bestFit="1" customWidth="1"/>
    <col min="2308" max="2308" width="13.42578125" customWidth="1"/>
    <col min="2309" max="2309" width="13.5703125" customWidth="1"/>
    <col min="2310" max="2316" width="12.5703125" customWidth="1"/>
    <col min="2317" max="2317" width="14.42578125" bestFit="1" customWidth="1"/>
    <col min="2562" max="2562" width="23.85546875" customWidth="1"/>
    <col min="2563" max="2563" width="16" bestFit="1" customWidth="1"/>
    <col min="2564" max="2564" width="13.42578125" customWidth="1"/>
    <col min="2565" max="2565" width="13.5703125" customWidth="1"/>
    <col min="2566" max="2572" width="12.5703125" customWidth="1"/>
    <col min="2573" max="2573" width="14.42578125" bestFit="1" customWidth="1"/>
    <col min="2818" max="2818" width="23.85546875" customWidth="1"/>
    <col min="2819" max="2819" width="16" bestFit="1" customWidth="1"/>
    <col min="2820" max="2820" width="13.42578125" customWidth="1"/>
    <col min="2821" max="2821" width="13.5703125" customWidth="1"/>
    <col min="2822" max="2828" width="12.5703125" customWidth="1"/>
    <col min="2829" max="2829" width="14.42578125" bestFit="1" customWidth="1"/>
    <col min="3074" max="3074" width="23.85546875" customWidth="1"/>
    <col min="3075" max="3075" width="16" bestFit="1" customWidth="1"/>
    <col min="3076" max="3076" width="13.42578125" customWidth="1"/>
    <col min="3077" max="3077" width="13.5703125" customWidth="1"/>
    <col min="3078" max="3084" width="12.5703125" customWidth="1"/>
    <col min="3085" max="3085" width="14.42578125" bestFit="1" customWidth="1"/>
    <col min="3330" max="3330" width="23.85546875" customWidth="1"/>
    <col min="3331" max="3331" width="16" bestFit="1" customWidth="1"/>
    <col min="3332" max="3332" width="13.42578125" customWidth="1"/>
    <col min="3333" max="3333" width="13.5703125" customWidth="1"/>
    <col min="3334" max="3340" width="12.5703125" customWidth="1"/>
    <col min="3341" max="3341" width="14.42578125" bestFit="1" customWidth="1"/>
    <col min="3586" max="3586" width="23.85546875" customWidth="1"/>
    <col min="3587" max="3587" width="16" bestFit="1" customWidth="1"/>
    <col min="3588" max="3588" width="13.42578125" customWidth="1"/>
    <col min="3589" max="3589" width="13.5703125" customWidth="1"/>
    <col min="3590" max="3596" width="12.5703125" customWidth="1"/>
    <col min="3597" max="3597" width="14.42578125" bestFit="1" customWidth="1"/>
    <col min="3842" max="3842" width="23.85546875" customWidth="1"/>
    <col min="3843" max="3843" width="16" bestFit="1" customWidth="1"/>
    <col min="3844" max="3844" width="13.42578125" customWidth="1"/>
    <col min="3845" max="3845" width="13.5703125" customWidth="1"/>
    <col min="3846" max="3852" width="12.5703125" customWidth="1"/>
    <col min="3853" max="3853" width="14.42578125" bestFit="1" customWidth="1"/>
    <col min="4098" max="4098" width="23.85546875" customWidth="1"/>
    <col min="4099" max="4099" width="16" bestFit="1" customWidth="1"/>
    <col min="4100" max="4100" width="13.42578125" customWidth="1"/>
    <col min="4101" max="4101" width="13.5703125" customWidth="1"/>
    <col min="4102" max="4108" width="12.5703125" customWidth="1"/>
    <col min="4109" max="4109" width="14.42578125" bestFit="1" customWidth="1"/>
    <col min="4354" max="4354" width="23.85546875" customWidth="1"/>
    <col min="4355" max="4355" width="16" bestFit="1" customWidth="1"/>
    <col min="4356" max="4356" width="13.42578125" customWidth="1"/>
    <col min="4357" max="4357" width="13.5703125" customWidth="1"/>
    <col min="4358" max="4364" width="12.5703125" customWidth="1"/>
    <col min="4365" max="4365" width="14.42578125" bestFit="1" customWidth="1"/>
    <col min="4610" max="4610" width="23.85546875" customWidth="1"/>
    <col min="4611" max="4611" width="16" bestFit="1" customWidth="1"/>
    <col min="4612" max="4612" width="13.42578125" customWidth="1"/>
    <col min="4613" max="4613" width="13.5703125" customWidth="1"/>
    <col min="4614" max="4620" width="12.5703125" customWidth="1"/>
    <col min="4621" max="4621" width="14.42578125" bestFit="1" customWidth="1"/>
    <col min="4866" max="4866" width="23.85546875" customWidth="1"/>
    <col min="4867" max="4867" width="16" bestFit="1" customWidth="1"/>
    <col min="4868" max="4868" width="13.42578125" customWidth="1"/>
    <col min="4869" max="4869" width="13.5703125" customWidth="1"/>
    <col min="4870" max="4876" width="12.5703125" customWidth="1"/>
    <col min="4877" max="4877" width="14.42578125" bestFit="1" customWidth="1"/>
    <col min="5122" max="5122" width="23.85546875" customWidth="1"/>
    <col min="5123" max="5123" width="16" bestFit="1" customWidth="1"/>
    <col min="5124" max="5124" width="13.42578125" customWidth="1"/>
    <col min="5125" max="5125" width="13.5703125" customWidth="1"/>
    <col min="5126" max="5132" width="12.5703125" customWidth="1"/>
    <col min="5133" max="5133" width="14.42578125" bestFit="1" customWidth="1"/>
    <col min="5378" max="5378" width="23.85546875" customWidth="1"/>
    <col min="5379" max="5379" width="16" bestFit="1" customWidth="1"/>
    <col min="5380" max="5380" width="13.42578125" customWidth="1"/>
    <col min="5381" max="5381" width="13.5703125" customWidth="1"/>
    <col min="5382" max="5388" width="12.5703125" customWidth="1"/>
    <col min="5389" max="5389" width="14.42578125" bestFit="1" customWidth="1"/>
    <col min="5634" max="5634" width="23.85546875" customWidth="1"/>
    <col min="5635" max="5635" width="16" bestFit="1" customWidth="1"/>
    <col min="5636" max="5636" width="13.42578125" customWidth="1"/>
    <col min="5637" max="5637" width="13.5703125" customWidth="1"/>
    <col min="5638" max="5644" width="12.5703125" customWidth="1"/>
    <col min="5645" max="5645" width="14.42578125" bestFit="1" customWidth="1"/>
    <col min="5890" max="5890" width="23.85546875" customWidth="1"/>
    <col min="5891" max="5891" width="16" bestFit="1" customWidth="1"/>
    <col min="5892" max="5892" width="13.42578125" customWidth="1"/>
    <col min="5893" max="5893" width="13.5703125" customWidth="1"/>
    <col min="5894" max="5900" width="12.5703125" customWidth="1"/>
    <col min="5901" max="5901" width="14.42578125" bestFit="1" customWidth="1"/>
    <col min="6146" max="6146" width="23.85546875" customWidth="1"/>
    <col min="6147" max="6147" width="16" bestFit="1" customWidth="1"/>
    <col min="6148" max="6148" width="13.42578125" customWidth="1"/>
    <col min="6149" max="6149" width="13.5703125" customWidth="1"/>
    <col min="6150" max="6156" width="12.5703125" customWidth="1"/>
    <col min="6157" max="6157" width="14.42578125" bestFit="1" customWidth="1"/>
    <col min="6402" max="6402" width="23.85546875" customWidth="1"/>
    <col min="6403" max="6403" width="16" bestFit="1" customWidth="1"/>
    <col min="6404" max="6404" width="13.42578125" customWidth="1"/>
    <col min="6405" max="6405" width="13.5703125" customWidth="1"/>
    <col min="6406" max="6412" width="12.5703125" customWidth="1"/>
    <col min="6413" max="6413" width="14.42578125" bestFit="1" customWidth="1"/>
    <col min="6658" max="6658" width="23.85546875" customWidth="1"/>
    <col min="6659" max="6659" width="16" bestFit="1" customWidth="1"/>
    <col min="6660" max="6660" width="13.42578125" customWidth="1"/>
    <col min="6661" max="6661" width="13.5703125" customWidth="1"/>
    <col min="6662" max="6668" width="12.5703125" customWidth="1"/>
    <col min="6669" max="6669" width="14.42578125" bestFit="1" customWidth="1"/>
    <col min="6914" max="6914" width="23.85546875" customWidth="1"/>
    <col min="6915" max="6915" width="16" bestFit="1" customWidth="1"/>
    <col min="6916" max="6916" width="13.42578125" customWidth="1"/>
    <col min="6917" max="6917" width="13.5703125" customWidth="1"/>
    <col min="6918" max="6924" width="12.5703125" customWidth="1"/>
    <col min="6925" max="6925" width="14.42578125" bestFit="1" customWidth="1"/>
    <col min="7170" max="7170" width="23.85546875" customWidth="1"/>
    <col min="7171" max="7171" width="16" bestFit="1" customWidth="1"/>
    <col min="7172" max="7172" width="13.42578125" customWidth="1"/>
    <col min="7173" max="7173" width="13.5703125" customWidth="1"/>
    <col min="7174" max="7180" width="12.5703125" customWidth="1"/>
    <col min="7181" max="7181" width="14.42578125" bestFit="1" customWidth="1"/>
    <col min="7426" max="7426" width="23.85546875" customWidth="1"/>
    <col min="7427" max="7427" width="16" bestFit="1" customWidth="1"/>
    <col min="7428" max="7428" width="13.42578125" customWidth="1"/>
    <col min="7429" max="7429" width="13.5703125" customWidth="1"/>
    <col min="7430" max="7436" width="12.5703125" customWidth="1"/>
    <col min="7437" max="7437" width="14.42578125" bestFit="1" customWidth="1"/>
    <col min="7682" max="7682" width="23.85546875" customWidth="1"/>
    <col min="7683" max="7683" width="16" bestFit="1" customWidth="1"/>
    <col min="7684" max="7684" width="13.42578125" customWidth="1"/>
    <col min="7685" max="7685" width="13.5703125" customWidth="1"/>
    <col min="7686" max="7692" width="12.5703125" customWidth="1"/>
    <col min="7693" max="7693" width="14.42578125" bestFit="1" customWidth="1"/>
    <col min="7938" max="7938" width="23.85546875" customWidth="1"/>
    <col min="7939" max="7939" width="16" bestFit="1" customWidth="1"/>
    <col min="7940" max="7940" width="13.42578125" customWidth="1"/>
    <col min="7941" max="7941" width="13.5703125" customWidth="1"/>
    <col min="7942" max="7948" width="12.5703125" customWidth="1"/>
    <col min="7949" max="7949" width="14.42578125" bestFit="1" customWidth="1"/>
    <col min="8194" max="8194" width="23.85546875" customWidth="1"/>
    <col min="8195" max="8195" width="16" bestFit="1" customWidth="1"/>
    <col min="8196" max="8196" width="13.42578125" customWidth="1"/>
    <col min="8197" max="8197" width="13.5703125" customWidth="1"/>
    <col min="8198" max="8204" width="12.5703125" customWidth="1"/>
    <col min="8205" max="8205" width="14.42578125" bestFit="1" customWidth="1"/>
    <col min="8450" max="8450" width="23.85546875" customWidth="1"/>
    <col min="8451" max="8451" width="16" bestFit="1" customWidth="1"/>
    <col min="8452" max="8452" width="13.42578125" customWidth="1"/>
    <col min="8453" max="8453" width="13.5703125" customWidth="1"/>
    <col min="8454" max="8460" width="12.5703125" customWidth="1"/>
    <col min="8461" max="8461" width="14.42578125" bestFit="1" customWidth="1"/>
    <col min="8706" max="8706" width="23.85546875" customWidth="1"/>
    <col min="8707" max="8707" width="16" bestFit="1" customWidth="1"/>
    <col min="8708" max="8708" width="13.42578125" customWidth="1"/>
    <col min="8709" max="8709" width="13.5703125" customWidth="1"/>
    <col min="8710" max="8716" width="12.5703125" customWidth="1"/>
    <col min="8717" max="8717" width="14.42578125" bestFit="1" customWidth="1"/>
    <col min="8962" max="8962" width="23.85546875" customWidth="1"/>
    <col min="8963" max="8963" width="16" bestFit="1" customWidth="1"/>
    <col min="8964" max="8964" width="13.42578125" customWidth="1"/>
    <col min="8965" max="8965" width="13.5703125" customWidth="1"/>
    <col min="8966" max="8972" width="12.5703125" customWidth="1"/>
    <col min="8973" max="8973" width="14.42578125" bestFit="1" customWidth="1"/>
    <col min="9218" max="9218" width="23.85546875" customWidth="1"/>
    <col min="9219" max="9219" width="16" bestFit="1" customWidth="1"/>
    <col min="9220" max="9220" width="13.42578125" customWidth="1"/>
    <col min="9221" max="9221" width="13.5703125" customWidth="1"/>
    <col min="9222" max="9228" width="12.5703125" customWidth="1"/>
    <col min="9229" max="9229" width="14.42578125" bestFit="1" customWidth="1"/>
    <col min="9474" max="9474" width="23.85546875" customWidth="1"/>
    <col min="9475" max="9475" width="16" bestFit="1" customWidth="1"/>
    <col min="9476" max="9476" width="13.42578125" customWidth="1"/>
    <col min="9477" max="9477" width="13.5703125" customWidth="1"/>
    <col min="9478" max="9484" width="12.5703125" customWidth="1"/>
    <col min="9485" max="9485" width="14.42578125" bestFit="1" customWidth="1"/>
    <col min="9730" max="9730" width="23.85546875" customWidth="1"/>
    <col min="9731" max="9731" width="16" bestFit="1" customWidth="1"/>
    <col min="9732" max="9732" width="13.42578125" customWidth="1"/>
    <col min="9733" max="9733" width="13.5703125" customWidth="1"/>
    <col min="9734" max="9740" width="12.5703125" customWidth="1"/>
    <col min="9741" max="9741" width="14.42578125" bestFit="1" customWidth="1"/>
    <col min="9986" max="9986" width="23.85546875" customWidth="1"/>
    <col min="9987" max="9987" width="16" bestFit="1" customWidth="1"/>
    <col min="9988" max="9988" width="13.42578125" customWidth="1"/>
    <col min="9989" max="9989" width="13.5703125" customWidth="1"/>
    <col min="9990" max="9996" width="12.5703125" customWidth="1"/>
    <col min="9997" max="9997" width="14.42578125" bestFit="1" customWidth="1"/>
    <col min="10242" max="10242" width="23.85546875" customWidth="1"/>
    <col min="10243" max="10243" width="16" bestFit="1" customWidth="1"/>
    <col min="10244" max="10244" width="13.42578125" customWidth="1"/>
    <col min="10245" max="10245" width="13.5703125" customWidth="1"/>
    <col min="10246" max="10252" width="12.5703125" customWidth="1"/>
    <col min="10253" max="10253" width="14.42578125" bestFit="1" customWidth="1"/>
    <col min="10498" max="10498" width="23.85546875" customWidth="1"/>
    <col min="10499" max="10499" width="16" bestFit="1" customWidth="1"/>
    <col min="10500" max="10500" width="13.42578125" customWidth="1"/>
    <col min="10501" max="10501" width="13.5703125" customWidth="1"/>
    <col min="10502" max="10508" width="12.5703125" customWidth="1"/>
    <col min="10509" max="10509" width="14.42578125" bestFit="1" customWidth="1"/>
    <col min="10754" max="10754" width="23.85546875" customWidth="1"/>
    <col min="10755" max="10755" width="16" bestFit="1" customWidth="1"/>
    <col min="10756" max="10756" width="13.42578125" customWidth="1"/>
    <col min="10757" max="10757" width="13.5703125" customWidth="1"/>
    <col min="10758" max="10764" width="12.5703125" customWidth="1"/>
    <col min="10765" max="10765" width="14.42578125" bestFit="1" customWidth="1"/>
    <col min="11010" max="11010" width="23.85546875" customWidth="1"/>
    <col min="11011" max="11011" width="16" bestFit="1" customWidth="1"/>
    <col min="11012" max="11012" width="13.42578125" customWidth="1"/>
    <col min="11013" max="11013" width="13.5703125" customWidth="1"/>
    <col min="11014" max="11020" width="12.5703125" customWidth="1"/>
    <col min="11021" max="11021" width="14.42578125" bestFit="1" customWidth="1"/>
    <col min="11266" max="11266" width="23.85546875" customWidth="1"/>
    <col min="11267" max="11267" width="16" bestFit="1" customWidth="1"/>
    <col min="11268" max="11268" width="13.42578125" customWidth="1"/>
    <col min="11269" max="11269" width="13.5703125" customWidth="1"/>
    <col min="11270" max="11276" width="12.5703125" customWidth="1"/>
    <col min="11277" max="11277" width="14.42578125" bestFit="1" customWidth="1"/>
    <col min="11522" max="11522" width="23.85546875" customWidth="1"/>
    <col min="11523" max="11523" width="16" bestFit="1" customWidth="1"/>
    <col min="11524" max="11524" width="13.42578125" customWidth="1"/>
    <col min="11525" max="11525" width="13.5703125" customWidth="1"/>
    <col min="11526" max="11532" width="12.5703125" customWidth="1"/>
    <col min="11533" max="11533" width="14.42578125" bestFit="1" customWidth="1"/>
    <col min="11778" max="11778" width="23.85546875" customWidth="1"/>
    <col min="11779" max="11779" width="16" bestFit="1" customWidth="1"/>
    <col min="11780" max="11780" width="13.42578125" customWidth="1"/>
    <col min="11781" max="11781" width="13.5703125" customWidth="1"/>
    <col min="11782" max="11788" width="12.5703125" customWidth="1"/>
    <col min="11789" max="11789" width="14.42578125" bestFit="1" customWidth="1"/>
    <col min="12034" max="12034" width="23.85546875" customWidth="1"/>
    <col min="12035" max="12035" width="16" bestFit="1" customWidth="1"/>
    <col min="12036" max="12036" width="13.42578125" customWidth="1"/>
    <col min="12037" max="12037" width="13.5703125" customWidth="1"/>
    <col min="12038" max="12044" width="12.5703125" customWidth="1"/>
    <col min="12045" max="12045" width="14.42578125" bestFit="1" customWidth="1"/>
    <col min="12290" max="12290" width="23.85546875" customWidth="1"/>
    <col min="12291" max="12291" width="16" bestFit="1" customWidth="1"/>
    <col min="12292" max="12292" width="13.42578125" customWidth="1"/>
    <col min="12293" max="12293" width="13.5703125" customWidth="1"/>
    <col min="12294" max="12300" width="12.5703125" customWidth="1"/>
    <col min="12301" max="12301" width="14.42578125" bestFit="1" customWidth="1"/>
    <col min="12546" max="12546" width="23.85546875" customWidth="1"/>
    <col min="12547" max="12547" width="16" bestFit="1" customWidth="1"/>
    <col min="12548" max="12548" width="13.42578125" customWidth="1"/>
    <col min="12549" max="12549" width="13.5703125" customWidth="1"/>
    <col min="12550" max="12556" width="12.5703125" customWidth="1"/>
    <col min="12557" max="12557" width="14.42578125" bestFit="1" customWidth="1"/>
    <col min="12802" max="12802" width="23.85546875" customWidth="1"/>
    <col min="12803" max="12803" width="16" bestFit="1" customWidth="1"/>
    <col min="12804" max="12804" width="13.42578125" customWidth="1"/>
    <col min="12805" max="12805" width="13.5703125" customWidth="1"/>
    <col min="12806" max="12812" width="12.5703125" customWidth="1"/>
    <col min="12813" max="12813" width="14.42578125" bestFit="1" customWidth="1"/>
    <col min="13058" max="13058" width="23.85546875" customWidth="1"/>
    <col min="13059" max="13059" width="16" bestFit="1" customWidth="1"/>
    <col min="13060" max="13060" width="13.42578125" customWidth="1"/>
    <col min="13061" max="13061" width="13.5703125" customWidth="1"/>
    <col min="13062" max="13068" width="12.5703125" customWidth="1"/>
    <col min="13069" max="13069" width="14.42578125" bestFit="1" customWidth="1"/>
    <col min="13314" max="13314" width="23.85546875" customWidth="1"/>
    <col min="13315" max="13315" width="16" bestFit="1" customWidth="1"/>
    <col min="13316" max="13316" width="13.42578125" customWidth="1"/>
    <col min="13317" max="13317" width="13.5703125" customWidth="1"/>
    <col min="13318" max="13324" width="12.5703125" customWidth="1"/>
    <col min="13325" max="13325" width="14.42578125" bestFit="1" customWidth="1"/>
    <col min="13570" max="13570" width="23.85546875" customWidth="1"/>
    <col min="13571" max="13571" width="16" bestFit="1" customWidth="1"/>
    <col min="13572" max="13572" width="13.42578125" customWidth="1"/>
    <col min="13573" max="13573" width="13.5703125" customWidth="1"/>
    <col min="13574" max="13580" width="12.5703125" customWidth="1"/>
    <col min="13581" max="13581" width="14.42578125" bestFit="1" customWidth="1"/>
    <col min="13826" max="13826" width="23.85546875" customWidth="1"/>
    <col min="13827" max="13827" width="16" bestFit="1" customWidth="1"/>
    <col min="13828" max="13828" width="13.42578125" customWidth="1"/>
    <col min="13829" max="13829" width="13.5703125" customWidth="1"/>
    <col min="13830" max="13836" width="12.5703125" customWidth="1"/>
    <col min="13837" max="13837" width="14.42578125" bestFit="1" customWidth="1"/>
    <col min="14082" max="14082" width="23.85546875" customWidth="1"/>
    <col min="14083" max="14083" width="16" bestFit="1" customWidth="1"/>
    <col min="14084" max="14084" width="13.42578125" customWidth="1"/>
    <col min="14085" max="14085" width="13.5703125" customWidth="1"/>
    <col min="14086" max="14092" width="12.5703125" customWidth="1"/>
    <col min="14093" max="14093" width="14.42578125" bestFit="1" customWidth="1"/>
    <col min="14338" max="14338" width="23.85546875" customWidth="1"/>
    <col min="14339" max="14339" width="16" bestFit="1" customWidth="1"/>
    <col min="14340" max="14340" width="13.42578125" customWidth="1"/>
    <col min="14341" max="14341" width="13.5703125" customWidth="1"/>
    <col min="14342" max="14348" width="12.5703125" customWidth="1"/>
    <col min="14349" max="14349" width="14.42578125" bestFit="1" customWidth="1"/>
    <col min="14594" max="14594" width="23.85546875" customWidth="1"/>
    <col min="14595" max="14595" width="16" bestFit="1" customWidth="1"/>
    <col min="14596" max="14596" width="13.42578125" customWidth="1"/>
    <col min="14597" max="14597" width="13.5703125" customWidth="1"/>
    <col min="14598" max="14604" width="12.5703125" customWidth="1"/>
    <col min="14605" max="14605" width="14.42578125" bestFit="1" customWidth="1"/>
    <col min="14850" max="14850" width="23.85546875" customWidth="1"/>
    <col min="14851" max="14851" width="16" bestFit="1" customWidth="1"/>
    <col min="14852" max="14852" width="13.42578125" customWidth="1"/>
    <col min="14853" max="14853" width="13.5703125" customWidth="1"/>
    <col min="14854" max="14860" width="12.5703125" customWidth="1"/>
    <col min="14861" max="14861" width="14.42578125" bestFit="1" customWidth="1"/>
    <col min="15106" max="15106" width="23.85546875" customWidth="1"/>
    <col min="15107" max="15107" width="16" bestFit="1" customWidth="1"/>
    <col min="15108" max="15108" width="13.42578125" customWidth="1"/>
    <col min="15109" max="15109" width="13.5703125" customWidth="1"/>
    <col min="15110" max="15116" width="12.5703125" customWidth="1"/>
    <col min="15117" max="15117" width="14.42578125" bestFit="1" customWidth="1"/>
    <col min="15362" max="15362" width="23.85546875" customWidth="1"/>
    <col min="15363" max="15363" width="16" bestFit="1" customWidth="1"/>
    <col min="15364" max="15364" width="13.42578125" customWidth="1"/>
    <col min="15365" max="15365" width="13.5703125" customWidth="1"/>
    <col min="15366" max="15372" width="12.5703125" customWidth="1"/>
    <col min="15373" max="15373" width="14.42578125" bestFit="1" customWidth="1"/>
    <col min="15618" max="15618" width="23.85546875" customWidth="1"/>
    <col min="15619" max="15619" width="16" bestFit="1" customWidth="1"/>
    <col min="15620" max="15620" width="13.42578125" customWidth="1"/>
    <col min="15621" max="15621" width="13.5703125" customWidth="1"/>
    <col min="15622" max="15628" width="12.5703125" customWidth="1"/>
    <col min="15629" max="15629" width="14.42578125" bestFit="1" customWidth="1"/>
    <col min="15874" max="15874" width="23.85546875" customWidth="1"/>
    <col min="15875" max="15875" width="16" bestFit="1" customWidth="1"/>
    <col min="15876" max="15876" width="13.42578125" customWidth="1"/>
    <col min="15877" max="15877" width="13.5703125" customWidth="1"/>
    <col min="15878" max="15884" width="12.5703125" customWidth="1"/>
    <col min="15885" max="15885" width="14.42578125" bestFit="1" customWidth="1"/>
    <col min="16130" max="16130" width="23.85546875" customWidth="1"/>
    <col min="16131" max="16131" width="16" bestFit="1" customWidth="1"/>
    <col min="16132" max="16132" width="13.42578125" customWidth="1"/>
    <col min="16133" max="16133" width="13.5703125" customWidth="1"/>
    <col min="16134" max="16140" width="12.5703125" customWidth="1"/>
    <col min="16141" max="16141" width="14.42578125" bestFit="1" customWidth="1"/>
  </cols>
  <sheetData>
    <row r="1" spans="1:14" s="16" customFormat="1" ht="18.600000000000001">
      <c r="B1" s="15" t="s">
        <v>26</v>
      </c>
    </row>
    <row r="2" spans="1:14" s="16" customFormat="1" ht="39.75" customHeight="1">
      <c r="B2" s="192" t="s">
        <v>27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28"/>
    </row>
    <row r="3" spans="1:14" s="16" customFormat="1" ht="39.75" customHeigh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8"/>
    </row>
    <row r="4" spans="1:14" s="16" customFormat="1" ht="18.600000000000001">
      <c r="B4" s="18"/>
      <c r="C4" s="18"/>
      <c r="D4" s="18"/>
      <c r="E4" s="18"/>
      <c r="F4" s="18"/>
    </row>
    <row r="5" spans="1:14" ht="18.600000000000001">
      <c r="A5" s="16"/>
      <c r="B5" s="19" t="s">
        <v>28</v>
      </c>
      <c r="C5" s="20">
        <v>0.06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s="16" customFormat="1" ht="18.600000000000001">
      <c r="B6" s="21"/>
      <c r="C6" s="189" t="s">
        <v>29</v>
      </c>
      <c r="D6" s="189"/>
      <c r="E6" s="189"/>
      <c r="F6" s="189"/>
      <c r="G6" s="189"/>
      <c r="H6" s="189"/>
      <c r="I6" s="189"/>
      <c r="J6" s="189"/>
      <c r="K6" s="189"/>
      <c r="L6" s="189"/>
      <c r="M6" s="189"/>
    </row>
    <row r="7" spans="1:14" ht="18.95" thickBot="1">
      <c r="A7" s="16"/>
      <c r="B7" s="21"/>
      <c r="C7" s="23">
        <v>0</v>
      </c>
      <c r="D7" s="23">
        <v>1</v>
      </c>
      <c r="E7" s="23">
        <v>2</v>
      </c>
      <c r="F7" s="23">
        <v>3</v>
      </c>
      <c r="G7" s="23">
        <v>4</v>
      </c>
      <c r="H7" s="23">
        <v>5</v>
      </c>
      <c r="I7" s="23">
        <v>6</v>
      </c>
      <c r="J7" s="23">
        <v>7</v>
      </c>
      <c r="K7" s="23">
        <v>8</v>
      </c>
      <c r="L7" s="23">
        <v>9</v>
      </c>
      <c r="M7" s="23">
        <v>10</v>
      </c>
      <c r="N7" s="16"/>
    </row>
    <row r="8" spans="1:14" ht="18.600000000000001">
      <c r="A8" s="16"/>
      <c r="B8" s="32" t="s">
        <v>3</v>
      </c>
      <c r="C8" s="33">
        <v>10000</v>
      </c>
      <c r="D8" s="34"/>
      <c r="E8" s="34"/>
      <c r="F8" s="34"/>
      <c r="G8" s="34"/>
      <c r="H8" s="34"/>
      <c r="I8" s="34"/>
      <c r="J8" s="34"/>
      <c r="K8" s="34"/>
      <c r="L8" s="34"/>
      <c r="M8" s="21"/>
      <c r="N8" s="16"/>
    </row>
    <row r="9" spans="1:14" ht="20.45">
      <c r="A9" s="16"/>
      <c r="B9" s="32" t="s">
        <v>30</v>
      </c>
      <c r="C9" s="35"/>
      <c r="D9" s="35">
        <v>500</v>
      </c>
      <c r="E9" s="35">
        <v>1500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10000</v>
      </c>
      <c r="N9" s="16"/>
    </row>
    <row r="10" spans="1:14" ht="18.600000000000001">
      <c r="A10" s="16"/>
      <c r="B10" s="6" t="s">
        <v>5</v>
      </c>
      <c r="C10" s="36"/>
      <c r="D10" s="36">
        <f>D9/(1+$C$5)^D7</f>
        <v>471.69811320754712</v>
      </c>
      <c r="E10" s="122"/>
      <c r="F10" s="36">
        <f t="shared" ref="F10:L10" si="0">F9/(1+$C$5)^F7</f>
        <v>0</v>
      </c>
      <c r="G10" s="36">
        <f t="shared" si="0"/>
        <v>0</v>
      </c>
      <c r="H10" s="36">
        <f t="shared" si="0"/>
        <v>0</v>
      </c>
      <c r="I10" s="36">
        <f t="shared" si="0"/>
        <v>0</v>
      </c>
      <c r="J10" s="36">
        <f t="shared" si="0"/>
        <v>0</v>
      </c>
      <c r="K10" s="36">
        <f t="shared" si="0"/>
        <v>0</v>
      </c>
      <c r="L10" s="36">
        <f t="shared" si="0"/>
        <v>0</v>
      </c>
      <c r="M10" s="122"/>
      <c r="N10" s="16"/>
    </row>
    <row r="11" spans="1:14" ht="18.60000000000000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20.45">
      <c r="A12" s="16"/>
      <c r="B12" s="10" t="s">
        <v>6</v>
      </c>
      <c r="C12" s="37"/>
      <c r="D12" s="38"/>
      <c r="E12" s="39" t="s">
        <v>31</v>
      </c>
      <c r="F12" s="39"/>
      <c r="G12" s="39"/>
      <c r="H12" s="34">
        <v>7390.64</v>
      </c>
      <c r="I12" s="34"/>
      <c r="J12" s="34"/>
      <c r="K12" s="34"/>
      <c r="L12" s="34"/>
      <c r="M12" s="24"/>
      <c r="N12" s="16"/>
    </row>
    <row r="13" spans="1:14" ht="18.600000000000001">
      <c r="A13" s="16"/>
      <c r="B13" s="16"/>
      <c r="C13" s="16"/>
      <c r="D13" s="16"/>
      <c r="E13" s="16"/>
      <c r="F13" s="16"/>
      <c r="G13" s="16"/>
      <c r="H13" s="16"/>
      <c r="I13" s="16"/>
      <c r="J13" s="186"/>
      <c r="K13" s="34"/>
      <c r="L13" s="34"/>
      <c r="M13" s="24"/>
      <c r="N13" s="16"/>
    </row>
    <row r="14" spans="1:14" ht="24">
      <c r="A14" s="16"/>
      <c r="B14" s="187" t="s">
        <v>32</v>
      </c>
      <c r="C14" s="41"/>
      <c r="D14" s="41"/>
      <c r="E14" s="34"/>
      <c r="F14" s="34"/>
      <c r="G14" s="34"/>
      <c r="H14" s="34"/>
      <c r="I14" s="34"/>
      <c r="J14" s="34"/>
      <c r="K14" s="34"/>
      <c r="L14" s="34"/>
      <c r="M14" s="24"/>
      <c r="N14" s="16"/>
    </row>
    <row r="15" spans="1:14" ht="21.75" customHeight="1">
      <c r="A15" s="16"/>
      <c r="B15" s="25"/>
      <c r="C15" s="22"/>
      <c r="D15" s="25"/>
      <c r="E15" s="25"/>
      <c r="F15" s="25"/>
      <c r="G15" s="25"/>
      <c r="H15" s="25"/>
      <c r="I15" s="25"/>
      <c r="J15" s="25"/>
      <c r="K15" s="38"/>
      <c r="L15" s="25"/>
      <c r="M15" s="25"/>
      <c r="N15" s="16"/>
    </row>
    <row r="16" spans="1:14" s="16" customFormat="1" ht="18.600000000000001">
      <c r="B16" s="190" t="s">
        <v>33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</row>
    <row r="17" spans="1:14" ht="18" customHeight="1" thickBot="1">
      <c r="A17" s="16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16"/>
    </row>
    <row r="18" spans="1:14" ht="18.95" thickBot="1">
      <c r="A18" s="16"/>
      <c r="B18" s="26" t="s">
        <v>34</v>
      </c>
      <c r="C18" s="29">
        <v>0.06</v>
      </c>
      <c r="D18" s="27" t="s">
        <v>35</v>
      </c>
      <c r="E18" s="121"/>
      <c r="G18" s="21"/>
      <c r="H18" s="26" t="str">
        <f>IF(E18&lt;0,"so we reject the project.","so we accept the project.")</f>
        <v>so we accept the project.</v>
      </c>
      <c r="N18" s="16"/>
    </row>
    <row r="19" spans="1:14" ht="13.5" customHeight="1">
      <c r="A19" s="1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16"/>
    </row>
    <row r="20" spans="1:14" s="16" customFormat="1" ht="18.600000000000001">
      <c r="B20" s="191" t="s">
        <v>36</v>
      </c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21"/>
    </row>
    <row r="21" spans="1:14" ht="19.5" customHeight="1" thickBot="1">
      <c r="A21" s="16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16"/>
    </row>
    <row r="22" spans="1:14" ht="18.95" thickBot="1">
      <c r="A22" s="16"/>
      <c r="B22" s="26" t="s">
        <v>34</v>
      </c>
      <c r="C22" s="29">
        <v>0.02</v>
      </c>
      <c r="D22" s="27" t="s">
        <v>35</v>
      </c>
      <c r="E22" s="121"/>
      <c r="G22" s="21"/>
      <c r="H22" s="26" t="str">
        <f>IF(E22&lt;0,"so we reject the project.","so we accept the project.")</f>
        <v>so we accept the project.</v>
      </c>
      <c r="N22" s="16"/>
    </row>
    <row r="23" spans="1:14" ht="18.600000000000001">
      <c r="A23" s="16"/>
      <c r="C23" s="13"/>
      <c r="E23" s="30"/>
      <c r="F23" s="31"/>
      <c r="G23" s="31"/>
      <c r="M23" s="13"/>
      <c r="N23" s="16"/>
    </row>
    <row r="24" spans="1:14" ht="18.600000000000001">
      <c r="A24" s="16"/>
      <c r="B24" s="21" t="s">
        <v>37</v>
      </c>
      <c r="C24" s="21"/>
      <c r="D24" s="21"/>
      <c r="E24" s="21"/>
      <c r="L24" s="55" t="s">
        <v>38</v>
      </c>
      <c r="N24" s="16"/>
    </row>
    <row r="25" spans="1:14" ht="18.95" thickBot="1">
      <c r="A25" s="16"/>
      <c r="M25" s="154" t="s">
        <v>39</v>
      </c>
      <c r="N25" s="16"/>
    </row>
    <row r="26" spans="1:14" ht="18.95" thickBot="1">
      <c r="A26" s="16"/>
      <c r="L26" s="54">
        <v>0</v>
      </c>
      <c r="M26" s="120"/>
      <c r="N26" s="16"/>
    </row>
    <row r="27" spans="1:14" ht="18.95" thickBot="1">
      <c r="A27" s="16"/>
      <c r="L27" s="54">
        <f t="shared" ref="L27:L33" si="1">L26+1%</f>
        <v>0.01</v>
      </c>
      <c r="M27" s="120"/>
      <c r="N27" s="16"/>
    </row>
    <row r="28" spans="1:14" ht="18.95" thickBot="1">
      <c r="A28" s="16"/>
      <c r="L28" s="54">
        <f t="shared" si="1"/>
        <v>0.02</v>
      </c>
      <c r="M28" s="120"/>
      <c r="N28" s="16"/>
    </row>
    <row r="29" spans="1:14" ht="18.95" thickBot="1">
      <c r="A29" s="16"/>
      <c r="L29" s="54">
        <f t="shared" si="1"/>
        <v>0.03</v>
      </c>
      <c r="M29" s="120"/>
      <c r="N29" s="16"/>
    </row>
    <row r="30" spans="1:14" ht="18.95" thickBot="1">
      <c r="A30" s="16"/>
      <c r="L30" s="54">
        <f t="shared" si="1"/>
        <v>0.04</v>
      </c>
      <c r="M30" s="120"/>
      <c r="N30" s="16"/>
    </row>
    <row r="31" spans="1:14" ht="18.95" thickBot="1">
      <c r="A31" s="16"/>
      <c r="L31" s="54">
        <f t="shared" si="1"/>
        <v>0.05</v>
      </c>
      <c r="M31" s="120"/>
      <c r="N31" s="16"/>
    </row>
    <row r="32" spans="1:14" ht="18.95" thickBot="1">
      <c r="A32" s="16"/>
      <c r="L32" s="54">
        <f t="shared" si="1"/>
        <v>6.0000000000000005E-2</v>
      </c>
      <c r="M32" s="120"/>
      <c r="N32" s="16"/>
    </row>
    <row r="33" spans="1:14" ht="18.600000000000001">
      <c r="A33" s="16"/>
      <c r="L33" s="54">
        <f t="shared" si="1"/>
        <v>7.0000000000000007E-2</v>
      </c>
      <c r="M33" s="120"/>
      <c r="N33" s="16"/>
    </row>
    <row r="34" spans="1:14" ht="18.600000000000001">
      <c r="A34" s="16"/>
      <c r="L34" s="13"/>
      <c r="M34" s="14"/>
      <c r="N34" s="16"/>
    </row>
    <row r="35" spans="1:14" ht="18.600000000000001">
      <c r="A35" s="16"/>
      <c r="L35" s="13"/>
      <c r="M35" s="14"/>
      <c r="N35" s="16"/>
    </row>
    <row r="36" spans="1:14" ht="18.600000000000001">
      <c r="A36" s="16"/>
      <c r="L36" s="13"/>
      <c r="M36" s="14"/>
      <c r="N36" s="16"/>
    </row>
    <row r="37" spans="1:14" ht="18.600000000000001">
      <c r="A37" s="16"/>
      <c r="L37" s="13"/>
      <c r="M37" s="14"/>
      <c r="N37" s="16"/>
    </row>
    <row r="38" spans="1:14" ht="18.600000000000001">
      <c r="A38" s="16"/>
      <c r="L38" s="13"/>
      <c r="M38" s="14"/>
      <c r="N38" s="16"/>
    </row>
    <row r="39" spans="1:14" ht="18.600000000000001">
      <c r="A39" s="16"/>
      <c r="L39" s="13"/>
      <c r="M39" s="14"/>
      <c r="N39" s="16"/>
    </row>
    <row r="40" spans="1:14" ht="18.600000000000001">
      <c r="A40" s="16"/>
      <c r="L40" s="13"/>
      <c r="M40" s="14"/>
      <c r="N40" s="16"/>
    </row>
    <row r="41" spans="1:14" ht="18.600000000000001">
      <c r="A41" s="16"/>
      <c r="L41" s="13"/>
      <c r="M41" s="14"/>
      <c r="N41" s="16"/>
    </row>
    <row r="42" spans="1:14" ht="18.600000000000001">
      <c r="A42" s="16"/>
      <c r="L42" s="13"/>
      <c r="M42" s="14"/>
      <c r="N42" s="16"/>
    </row>
    <row r="43" spans="1:14" ht="18.600000000000001">
      <c r="A43" s="16"/>
      <c r="L43" s="13"/>
      <c r="M43" s="14"/>
      <c r="N43" s="16"/>
    </row>
    <row r="44" spans="1:14" ht="18.600000000000001">
      <c r="A44" s="16"/>
      <c r="L44" s="13"/>
      <c r="M44" s="14"/>
      <c r="N44" s="16"/>
    </row>
    <row r="45" spans="1:14" ht="18.600000000000001">
      <c r="A45" s="16"/>
      <c r="L45" s="13"/>
      <c r="M45" s="14"/>
      <c r="N45" s="16"/>
    </row>
    <row r="46" spans="1:14">
      <c r="L46" s="13"/>
      <c r="M46" s="14"/>
    </row>
    <row r="47" spans="1:14">
      <c r="L47" s="13"/>
      <c r="M47" s="14"/>
    </row>
    <row r="48" spans="1:14">
      <c r="L48" s="13"/>
      <c r="M48" s="14"/>
    </row>
    <row r="49" spans="12:12">
      <c r="L49" s="13"/>
    </row>
  </sheetData>
  <mergeCells count="4">
    <mergeCell ref="C6:M6"/>
    <mergeCell ref="B16:M16"/>
    <mergeCell ref="B20:L20"/>
    <mergeCell ref="B2:M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M31"/>
  <sheetViews>
    <sheetView topLeftCell="A3" zoomScaleNormal="100" workbookViewId="0">
      <selection activeCell="E21" sqref="E21"/>
    </sheetView>
  </sheetViews>
  <sheetFormatPr defaultColWidth="11.42578125" defaultRowHeight="14.45"/>
  <cols>
    <col min="2" max="2" width="23.85546875" customWidth="1"/>
  </cols>
  <sheetData>
    <row r="1" spans="1:13">
      <c r="A1" s="56" t="s">
        <v>40</v>
      </c>
    </row>
    <row r="2" spans="1:13" ht="15.75" customHeight="1">
      <c r="A2" s="193" t="s">
        <v>41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</row>
    <row r="3" spans="1:13" ht="15" customHeight="1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</row>
    <row r="4" spans="1:13" ht="15" customHeight="1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</row>
    <row r="6" spans="1:13">
      <c r="B6" s="3" t="s">
        <v>1</v>
      </c>
      <c r="C6" s="2">
        <v>0.02</v>
      </c>
    </row>
    <row r="7" spans="1:13" ht="15" thickBot="1"/>
    <row r="8" spans="1:13">
      <c r="B8" s="43" t="s">
        <v>2</v>
      </c>
      <c r="C8" s="44">
        <v>0</v>
      </c>
      <c r="D8" s="44">
        <v>1</v>
      </c>
      <c r="E8" s="44">
        <v>2</v>
      </c>
      <c r="F8" s="45">
        <v>3</v>
      </c>
    </row>
    <row r="9" spans="1:13">
      <c r="B9" s="46" t="s">
        <v>3</v>
      </c>
      <c r="C9" s="5">
        <v>1000</v>
      </c>
      <c r="D9" s="5"/>
      <c r="E9" s="5">
        <v>1000</v>
      </c>
      <c r="F9" s="47"/>
    </row>
    <row r="10" spans="1:13" ht="17.100000000000001" thickBot="1">
      <c r="B10" s="48" t="s">
        <v>4</v>
      </c>
      <c r="C10" s="49"/>
      <c r="D10" s="49">
        <v>4000</v>
      </c>
      <c r="E10" s="49"/>
      <c r="F10" s="50">
        <v>4000</v>
      </c>
    </row>
    <row r="12" spans="1:13" ht="17.45">
      <c r="B12" s="6" t="s">
        <v>5</v>
      </c>
      <c r="C12" s="7"/>
      <c r="D12" s="123"/>
      <c r="E12" s="8"/>
      <c r="F12" s="123"/>
    </row>
    <row r="13" spans="1:13">
      <c r="D13">
        <v>3921.569</v>
      </c>
      <c r="F13">
        <v>3769.2890000000002</v>
      </c>
    </row>
    <row r="14" spans="1:13" ht="18.75" customHeight="1">
      <c r="B14" s="10" t="s">
        <v>6</v>
      </c>
      <c r="C14" s="124"/>
      <c r="D14" s="9"/>
      <c r="E14" s="51" t="s">
        <v>7</v>
      </c>
      <c r="F14" s="125"/>
      <c r="J14" s="12"/>
      <c r="K14" s="12"/>
    </row>
    <row r="15" spans="1:13" ht="18.75" customHeight="1">
      <c r="C15">
        <v>1961.16878</v>
      </c>
      <c r="F15">
        <v>7690.8579656391585</v>
      </c>
    </row>
    <row r="16" spans="1:13" ht="16.5">
      <c r="B16" s="40" t="s">
        <v>9</v>
      </c>
      <c r="C16" s="125"/>
    </row>
    <row r="17" spans="3:8">
      <c r="C17">
        <v>5729.6891844011734</v>
      </c>
      <c r="E17" t="str">
        <f>IF(C16&lt;0,"So Marian should reject the opportunity.","So Marian should accept this opportunity.")</f>
        <v>So Marian should accept this opportunity.</v>
      </c>
      <c r="H17" s="12"/>
    </row>
    <row r="18" spans="3:8">
      <c r="E18" s="4"/>
    </row>
    <row r="20" spans="3:8">
      <c r="C20" s="53"/>
      <c r="G20" s="4"/>
    </row>
    <row r="21" spans="3:8">
      <c r="C21" s="53"/>
      <c r="G21" s="4"/>
    </row>
    <row r="22" spans="3:8">
      <c r="C22" s="53"/>
      <c r="G22" s="4"/>
    </row>
    <row r="23" spans="3:8">
      <c r="C23" s="53"/>
      <c r="G23" s="4"/>
    </row>
    <row r="24" spans="3:8">
      <c r="C24" s="53"/>
      <c r="G24" s="4"/>
    </row>
    <row r="25" spans="3:8">
      <c r="C25" s="53"/>
      <c r="G25" s="4"/>
    </row>
    <row r="26" spans="3:8">
      <c r="C26" s="53"/>
      <c r="G26" s="4"/>
    </row>
    <row r="27" spans="3:8">
      <c r="C27" s="53"/>
      <c r="G27" s="4"/>
    </row>
    <row r="28" spans="3:8">
      <c r="C28" s="53"/>
      <c r="G28" s="4"/>
    </row>
    <row r="29" spans="3:8">
      <c r="C29" s="53"/>
      <c r="G29" s="4"/>
    </row>
    <row r="30" spans="3:8">
      <c r="C30" s="53"/>
    </row>
    <row r="31" spans="3:8">
      <c r="C31" s="53"/>
    </row>
  </sheetData>
  <mergeCells count="1">
    <mergeCell ref="A2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8:U27"/>
  <sheetViews>
    <sheetView workbookViewId="0">
      <selection activeCell="C18" sqref="C18"/>
    </sheetView>
  </sheetViews>
  <sheetFormatPr defaultColWidth="11.42578125" defaultRowHeight="14.45"/>
  <cols>
    <col min="2" max="2" width="21.42578125" customWidth="1"/>
  </cols>
  <sheetData>
    <row r="8" spans="1:21">
      <c r="B8" s="3" t="s">
        <v>1</v>
      </c>
      <c r="C8" s="2">
        <v>0.03</v>
      </c>
    </row>
    <row r="9" spans="1:21" ht="15" thickBot="1"/>
    <row r="10" spans="1:21">
      <c r="B10" s="43" t="s">
        <v>2</v>
      </c>
      <c r="C10" s="44">
        <v>0</v>
      </c>
      <c r="D10" s="44">
        <v>1</v>
      </c>
      <c r="E10" s="44">
        <f>D10+1</f>
        <v>2</v>
      </c>
      <c r="F10" s="44">
        <f t="shared" ref="F10:U10" si="0">E10+1</f>
        <v>3</v>
      </c>
      <c r="G10" s="44">
        <f t="shared" si="0"/>
        <v>4</v>
      </c>
      <c r="H10" s="44">
        <f t="shared" si="0"/>
        <v>5</v>
      </c>
      <c r="I10" s="44">
        <f t="shared" si="0"/>
        <v>6</v>
      </c>
      <c r="J10" s="44">
        <f t="shared" si="0"/>
        <v>7</v>
      </c>
      <c r="K10" s="44">
        <f t="shared" si="0"/>
        <v>8</v>
      </c>
      <c r="L10" s="44">
        <f t="shared" si="0"/>
        <v>9</v>
      </c>
      <c r="M10" s="44">
        <f t="shared" si="0"/>
        <v>10</v>
      </c>
      <c r="N10" s="44">
        <f>M10+1</f>
        <v>11</v>
      </c>
      <c r="O10" s="44">
        <f t="shared" si="0"/>
        <v>12</v>
      </c>
      <c r="P10" s="44">
        <f t="shared" si="0"/>
        <v>13</v>
      </c>
      <c r="Q10" s="44">
        <f t="shared" si="0"/>
        <v>14</v>
      </c>
      <c r="R10" s="44">
        <f t="shared" si="0"/>
        <v>15</v>
      </c>
      <c r="S10" s="44">
        <f t="shared" si="0"/>
        <v>16</v>
      </c>
      <c r="T10" s="44">
        <f t="shared" si="0"/>
        <v>17</v>
      </c>
      <c r="U10" s="44">
        <f t="shared" si="0"/>
        <v>18</v>
      </c>
    </row>
    <row r="11" spans="1:21" ht="17.100000000000001" thickBot="1">
      <c r="B11" s="48" t="s">
        <v>42</v>
      </c>
      <c r="C11" s="49"/>
      <c r="D11" s="49">
        <v>1000</v>
      </c>
      <c r="E11" s="49">
        <v>1000</v>
      </c>
      <c r="F11" s="50">
        <v>1000</v>
      </c>
      <c r="G11" s="50">
        <v>1000</v>
      </c>
      <c r="H11" s="50">
        <v>1000</v>
      </c>
      <c r="I11" s="50">
        <v>1000</v>
      </c>
      <c r="J11" s="50">
        <v>1000</v>
      </c>
      <c r="K11" s="50">
        <v>1000</v>
      </c>
      <c r="L11" s="50">
        <v>1000</v>
      </c>
      <c r="M11" s="50">
        <v>1000</v>
      </c>
      <c r="N11" s="50">
        <v>1000</v>
      </c>
      <c r="O11" s="50">
        <v>1000</v>
      </c>
      <c r="P11" s="50">
        <v>1000</v>
      </c>
      <c r="Q11" s="50">
        <v>1000</v>
      </c>
      <c r="R11" s="50">
        <v>1000</v>
      </c>
      <c r="S11" s="50">
        <v>1000</v>
      </c>
      <c r="T11" s="50">
        <v>1000</v>
      </c>
      <c r="U11" s="50">
        <v>1000</v>
      </c>
    </row>
    <row r="12" spans="1:21">
      <c r="B12" s="57"/>
    </row>
    <row r="13" spans="1:21" ht="16.5">
      <c r="A13" t="s">
        <v>43</v>
      </c>
      <c r="B13" s="57"/>
    </row>
    <row r="15" spans="1:21" ht="17.45">
      <c r="B15" s="6" t="s">
        <v>44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7" spans="1:5" ht="15.75" customHeight="1" thickBot="1">
      <c r="A17" t="s">
        <v>45</v>
      </c>
    </row>
    <row r="18" spans="1:5" ht="15" thickBot="1">
      <c r="B18" s="126" t="s">
        <v>46</v>
      </c>
      <c r="C18" s="127">
        <f>SUM(D15:U15)</f>
        <v>0</v>
      </c>
      <c r="D18" s="9"/>
    </row>
    <row r="19" spans="1:5">
      <c r="D19" s="9"/>
    </row>
    <row r="20" spans="1:5" ht="15" thickBot="1">
      <c r="A20" t="s">
        <v>47</v>
      </c>
    </row>
    <row r="21" spans="1:5" ht="15" thickBot="1">
      <c r="B21" s="126" t="s">
        <v>46</v>
      </c>
      <c r="C21" s="128"/>
    </row>
    <row r="23" spans="1:5" ht="15" thickBot="1">
      <c r="A23" t="s">
        <v>48</v>
      </c>
    </row>
    <row r="24" spans="1:5" ht="15" thickBot="1">
      <c r="B24" s="129" t="s">
        <v>49</v>
      </c>
      <c r="C24" s="130"/>
      <c r="E24" t="s">
        <v>50</v>
      </c>
    </row>
    <row r="26" spans="1:5" ht="15" thickBot="1">
      <c r="A26" t="s">
        <v>51</v>
      </c>
      <c r="C26" s="131"/>
    </row>
    <row r="27" spans="1:5" ht="15" thickBot="1">
      <c r="B27" s="129" t="s">
        <v>49</v>
      </c>
      <c r="C27" s="13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66"/>
  </sheetPr>
  <dimension ref="A1:M40"/>
  <sheetViews>
    <sheetView workbookViewId="0">
      <selection activeCell="D26" sqref="D26"/>
    </sheetView>
  </sheetViews>
  <sheetFormatPr defaultRowHeight="14.45"/>
  <cols>
    <col min="1" max="1" width="17.85546875" customWidth="1"/>
    <col min="2" max="3" width="10.140625" bestFit="1" customWidth="1"/>
    <col min="4" max="4" width="10.42578125" bestFit="1" customWidth="1"/>
    <col min="5" max="7" width="10.140625" bestFit="1" customWidth="1"/>
  </cols>
  <sheetData>
    <row r="1" spans="1:13" ht="69.599999999999994" customHeight="1">
      <c r="A1" s="194" t="s">
        <v>52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</row>
    <row r="2" spans="1:13">
      <c r="A2" s="172" t="s">
        <v>53</v>
      </c>
      <c r="B2" s="195" t="s">
        <v>54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</row>
    <row r="3" spans="1:13">
      <c r="A3" s="172" t="s">
        <v>55</v>
      </c>
      <c r="B3" s="195" t="s">
        <v>56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</row>
    <row r="4" spans="1:13" ht="24.6" customHeight="1">
      <c r="A4" s="172" t="s">
        <v>57</v>
      </c>
      <c r="B4" s="195" t="s">
        <v>58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</row>
    <row r="5" spans="1:13" ht="34.35" customHeight="1">
      <c r="A5" s="172" t="s">
        <v>59</v>
      </c>
      <c r="B5" s="194" t="s">
        <v>60</v>
      </c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</row>
    <row r="7" spans="1:13">
      <c r="A7" s="145" t="s">
        <v>61</v>
      </c>
      <c r="I7" s="169"/>
      <c r="J7" t="s">
        <v>62</v>
      </c>
    </row>
    <row r="8" spans="1:13">
      <c r="I8" s="170"/>
      <c r="J8" t="s">
        <v>63</v>
      </c>
    </row>
    <row r="9" spans="1:13">
      <c r="A9" t="s">
        <v>64</v>
      </c>
      <c r="B9" s="155">
        <v>0.1</v>
      </c>
      <c r="C9" s="156"/>
      <c r="D9" s="156"/>
      <c r="E9" s="156"/>
      <c r="F9" s="156"/>
      <c r="G9" s="156"/>
      <c r="H9" s="156"/>
    </row>
    <row r="10" spans="1:13">
      <c r="A10" s="156"/>
      <c r="B10" s="157"/>
      <c r="C10" s="156"/>
      <c r="D10" s="156"/>
      <c r="E10" s="156"/>
      <c r="F10" s="156"/>
      <c r="G10" s="156"/>
      <c r="H10" s="156"/>
    </row>
    <row r="11" spans="1:13">
      <c r="A11" s="156"/>
      <c r="B11" s="158">
        <v>0</v>
      </c>
      <c r="C11" s="159">
        <f>B11+1</f>
        <v>1</v>
      </c>
      <c r="D11" s="159">
        <f>C11+1</f>
        <v>2</v>
      </c>
      <c r="E11" s="159">
        <f t="shared" ref="E11:G11" si="0">D11+1</f>
        <v>3</v>
      </c>
      <c r="F11" s="159">
        <f t="shared" si="0"/>
        <v>4</v>
      </c>
      <c r="G11" s="159">
        <f t="shared" si="0"/>
        <v>5</v>
      </c>
      <c r="J11" s="171" t="s">
        <v>65</v>
      </c>
      <c r="K11" t="s">
        <v>66</v>
      </c>
    </row>
    <row r="12" spans="1:13">
      <c r="A12" t="s">
        <v>67</v>
      </c>
      <c r="B12" s="156"/>
      <c r="C12" s="173">
        <v>800000</v>
      </c>
      <c r="D12" s="174"/>
      <c r="E12" s="175"/>
      <c r="F12" s="175"/>
      <c r="G12" s="175"/>
      <c r="H12" s="161"/>
    </row>
    <row r="13" spans="1:13">
      <c r="A13" s="162" t="s">
        <v>68</v>
      </c>
      <c r="B13" s="156"/>
      <c r="C13" s="156"/>
      <c r="D13" s="163"/>
      <c r="E13" s="176"/>
      <c r="F13" s="176"/>
      <c r="G13" s="176"/>
      <c r="H13" s="161"/>
    </row>
    <row r="14" spans="1:13">
      <c r="A14" t="s">
        <v>69</v>
      </c>
      <c r="B14" s="156"/>
      <c r="C14" s="160">
        <f>-C15*C12</f>
        <v>-400000</v>
      </c>
      <c r="D14" s="177"/>
      <c r="E14" s="177"/>
      <c r="F14" s="177"/>
      <c r="G14" s="177"/>
      <c r="H14" s="161"/>
    </row>
    <row r="15" spans="1:13">
      <c r="A15" s="165" t="s">
        <v>70</v>
      </c>
      <c r="B15" s="156"/>
      <c r="C15" s="164">
        <v>0.5</v>
      </c>
      <c r="D15" s="163">
        <f>C15</f>
        <v>0.5</v>
      </c>
      <c r="E15" s="163">
        <f t="shared" ref="E15:G15" si="1">D15</f>
        <v>0.5</v>
      </c>
      <c r="F15" s="163">
        <f t="shared" si="1"/>
        <v>0.5</v>
      </c>
      <c r="G15" s="163">
        <f t="shared" si="1"/>
        <v>0.5</v>
      </c>
      <c r="H15" s="161"/>
    </row>
    <row r="16" spans="1:13">
      <c r="A16" t="s">
        <v>71</v>
      </c>
      <c r="B16" s="156"/>
      <c r="C16" s="178"/>
      <c r="D16" s="177"/>
      <c r="E16" s="177"/>
      <c r="F16" s="177"/>
      <c r="G16" s="177"/>
      <c r="H16" s="161"/>
    </row>
    <row r="17" spans="1:9" ht="15" thickBot="1">
      <c r="A17" t="s">
        <v>72</v>
      </c>
      <c r="B17" s="180">
        <v>-900000</v>
      </c>
      <c r="C17" s="181"/>
      <c r="D17" s="181"/>
      <c r="E17" s="181"/>
      <c r="F17" s="181"/>
      <c r="G17" s="181"/>
    </row>
    <row r="18" spans="1:9">
      <c r="A18" t="s">
        <v>73</v>
      </c>
      <c r="B18" s="160">
        <f t="shared" ref="B18" si="2">B12+B14+B16+B17</f>
        <v>-900000</v>
      </c>
      <c r="C18" s="179"/>
      <c r="D18" s="179"/>
      <c r="E18" s="179"/>
      <c r="F18" s="179"/>
      <c r="G18" s="179"/>
    </row>
    <row r="19" spans="1:9" ht="15" thickBot="1">
      <c r="A19" t="s">
        <v>74</v>
      </c>
      <c r="B19" s="180">
        <f>1</f>
        <v>1</v>
      </c>
      <c r="C19" s="182"/>
      <c r="D19" s="182"/>
      <c r="E19" s="182"/>
      <c r="F19" s="182"/>
      <c r="G19" s="182"/>
      <c r="I19" s="160"/>
    </row>
    <row r="20" spans="1:9">
      <c r="A20" t="s">
        <v>75</v>
      </c>
      <c r="B20" s="160">
        <f>B18*B19</f>
        <v>-900000</v>
      </c>
      <c r="C20" s="179"/>
      <c r="D20" s="179"/>
      <c r="E20" s="179"/>
      <c r="F20" s="179"/>
      <c r="G20" s="179"/>
    </row>
    <row r="21" spans="1:9">
      <c r="A21" t="s">
        <v>39</v>
      </c>
      <c r="B21" s="175"/>
      <c r="C21" s="156"/>
      <c r="D21" s="156"/>
      <c r="E21" s="156"/>
      <c r="F21" s="156"/>
      <c r="G21" s="156"/>
    </row>
    <row r="22" spans="1:9">
      <c r="A22" t="s">
        <v>76</v>
      </c>
      <c r="B22" s="183"/>
      <c r="C22" s="156"/>
      <c r="D22" s="156"/>
      <c r="E22" s="156"/>
      <c r="F22" s="156"/>
      <c r="G22" s="156"/>
    </row>
    <row r="23" spans="1:9">
      <c r="A23" s="156"/>
      <c r="B23" s="166"/>
      <c r="C23" s="156"/>
      <c r="D23" s="156"/>
      <c r="E23" s="156"/>
      <c r="F23" s="156"/>
      <c r="G23" s="156"/>
    </row>
    <row r="24" spans="1:9">
      <c r="A24" t="s">
        <v>1</v>
      </c>
      <c r="B24" s="167" t="s">
        <v>39</v>
      </c>
      <c r="C24" s="156"/>
      <c r="D24" s="156"/>
      <c r="E24" s="156"/>
      <c r="F24" s="156"/>
      <c r="G24" s="156"/>
      <c r="H24" s="156"/>
    </row>
    <row r="25" spans="1:9">
      <c r="A25" s="168">
        <v>0</v>
      </c>
      <c r="B25" s="184"/>
      <c r="C25" s="156"/>
      <c r="D25" s="156" t="s">
        <v>77</v>
      </c>
      <c r="E25" s="156"/>
      <c r="F25" s="156"/>
      <c r="G25" s="156"/>
      <c r="H25" s="156"/>
    </row>
    <row r="26" spans="1:9">
      <c r="A26" s="168">
        <v>0.05</v>
      </c>
      <c r="B26" s="184"/>
      <c r="C26" s="156"/>
      <c r="D26" s="156"/>
      <c r="E26" s="156"/>
      <c r="F26" s="156"/>
      <c r="G26" s="156"/>
      <c r="H26" s="156"/>
    </row>
    <row r="27" spans="1:9">
      <c r="A27" s="168">
        <v>0.1</v>
      </c>
      <c r="B27" s="184"/>
      <c r="C27" s="156"/>
      <c r="D27" s="156"/>
      <c r="E27" s="156"/>
      <c r="F27" s="156"/>
      <c r="G27" s="156"/>
      <c r="H27" s="156"/>
    </row>
    <row r="28" spans="1:9">
      <c r="A28" s="168">
        <v>0.15</v>
      </c>
      <c r="B28" s="184"/>
      <c r="C28" s="156"/>
      <c r="D28" s="156"/>
      <c r="E28" s="156"/>
      <c r="F28" s="156"/>
      <c r="G28" s="156"/>
      <c r="H28" s="156"/>
    </row>
    <row r="29" spans="1:9">
      <c r="A29" s="168">
        <v>0.2</v>
      </c>
      <c r="B29" s="184"/>
      <c r="C29" s="156"/>
      <c r="D29" s="156"/>
      <c r="E29" s="156"/>
      <c r="F29" s="156"/>
      <c r="G29" s="156"/>
      <c r="H29" s="156"/>
    </row>
    <row r="30" spans="1:9">
      <c r="A30" s="168">
        <v>0.25</v>
      </c>
      <c r="B30" s="184"/>
      <c r="C30" s="156"/>
      <c r="D30" s="156"/>
      <c r="E30" s="156"/>
      <c r="F30" s="156"/>
      <c r="G30" s="156"/>
      <c r="H30" s="156"/>
    </row>
    <row r="31" spans="1:9">
      <c r="A31" s="168">
        <v>0.3</v>
      </c>
      <c r="B31" s="185"/>
      <c r="C31" s="156"/>
      <c r="D31" s="156"/>
      <c r="E31" s="156"/>
      <c r="F31" s="156"/>
      <c r="G31" s="156"/>
      <c r="H31" s="156"/>
    </row>
    <row r="32" spans="1:9">
      <c r="A32" s="168">
        <v>0.35</v>
      </c>
      <c r="B32" s="185"/>
      <c r="C32" s="156"/>
      <c r="D32" s="156"/>
      <c r="E32" s="156"/>
      <c r="F32" s="156"/>
      <c r="G32" s="156"/>
      <c r="H32" s="156"/>
    </row>
    <row r="33" spans="1:8">
      <c r="A33" s="168">
        <v>0.4</v>
      </c>
      <c r="B33" s="185"/>
      <c r="C33" s="156"/>
      <c r="D33" s="156"/>
      <c r="E33" s="156"/>
      <c r="F33" s="156"/>
      <c r="G33" s="156"/>
      <c r="H33" s="156"/>
    </row>
    <row r="34" spans="1:8">
      <c r="A34" s="168">
        <v>0.45</v>
      </c>
      <c r="B34" s="185"/>
      <c r="C34" s="156"/>
      <c r="D34" s="156"/>
      <c r="E34" s="156"/>
      <c r="F34" s="156"/>
      <c r="G34" s="156"/>
      <c r="H34" s="156"/>
    </row>
    <row r="35" spans="1:8">
      <c r="A35" s="168">
        <v>0.5</v>
      </c>
      <c r="B35" s="185"/>
      <c r="C35" s="156"/>
      <c r="D35" s="156"/>
      <c r="E35" s="156"/>
      <c r="F35" s="156"/>
      <c r="G35" s="156"/>
      <c r="H35" s="156"/>
    </row>
    <row r="36" spans="1:8">
      <c r="A36" s="168">
        <v>0.55000000000000004</v>
      </c>
      <c r="B36" s="185"/>
      <c r="C36" s="156"/>
      <c r="D36" s="156"/>
      <c r="E36" s="156"/>
      <c r="F36" s="156"/>
      <c r="G36" s="156"/>
      <c r="H36" s="156"/>
    </row>
    <row r="37" spans="1:8">
      <c r="A37" s="168">
        <v>0.6</v>
      </c>
      <c r="B37" s="185"/>
      <c r="C37" s="156"/>
      <c r="D37" s="156"/>
      <c r="E37" s="156"/>
      <c r="F37" s="156"/>
      <c r="G37" s="156"/>
      <c r="H37" s="156"/>
    </row>
    <row r="38" spans="1:8">
      <c r="A38" s="168">
        <v>0.65</v>
      </c>
      <c r="B38" s="185"/>
      <c r="C38" s="156"/>
      <c r="D38" s="156"/>
      <c r="E38" s="156"/>
      <c r="F38" s="156"/>
      <c r="G38" s="156"/>
      <c r="H38" s="156"/>
    </row>
    <row r="39" spans="1:8">
      <c r="A39" s="168">
        <v>0.7</v>
      </c>
      <c r="B39" s="185"/>
      <c r="C39" s="156"/>
      <c r="D39" s="156"/>
      <c r="E39" s="156"/>
      <c r="F39" s="156"/>
      <c r="G39" s="156"/>
      <c r="H39" s="156"/>
    </row>
    <row r="40" spans="1:8">
      <c r="A40" s="168">
        <v>0.75</v>
      </c>
      <c r="B40" s="185"/>
      <c r="C40" s="156"/>
      <c r="D40" s="156"/>
      <c r="E40" s="156"/>
      <c r="F40" s="156"/>
      <c r="G40" s="156"/>
      <c r="H40" s="156"/>
    </row>
  </sheetData>
  <mergeCells count="5">
    <mergeCell ref="A1:M1"/>
    <mergeCell ref="B2:M2"/>
    <mergeCell ref="B3:M3"/>
    <mergeCell ref="B4:M4"/>
    <mergeCell ref="B5:M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20"/>
  <sheetViews>
    <sheetView topLeftCell="A14" workbookViewId="0">
      <selection activeCell="B19" sqref="B19"/>
    </sheetView>
  </sheetViews>
  <sheetFormatPr defaultColWidth="11.42578125" defaultRowHeight="14.45"/>
  <cols>
    <col min="1" max="1" width="20.42578125" customWidth="1"/>
    <col min="2" max="2" width="19" customWidth="1"/>
  </cols>
  <sheetData>
    <row r="1" spans="1:10" ht="18.600000000000001">
      <c r="A1" s="15" t="s">
        <v>78</v>
      </c>
      <c r="B1" s="16"/>
      <c r="C1" s="16"/>
      <c r="D1" s="16"/>
      <c r="E1" s="16"/>
    </row>
    <row r="2" spans="1:10" ht="59.25" customHeight="1">
      <c r="A2" s="197" t="s">
        <v>79</v>
      </c>
      <c r="B2" s="197"/>
      <c r="C2" s="197"/>
      <c r="D2" s="197"/>
      <c r="E2" s="197"/>
      <c r="F2" s="197"/>
      <c r="G2" s="197"/>
      <c r="H2" s="197"/>
      <c r="I2" s="197"/>
      <c r="J2" s="197"/>
    </row>
    <row r="3" spans="1:10" ht="18.600000000000001">
      <c r="A3" s="18"/>
      <c r="B3" s="18"/>
      <c r="C3" s="18"/>
      <c r="D3" s="18"/>
      <c r="E3" s="18"/>
    </row>
    <row r="4" spans="1:10" ht="15.6">
      <c r="A4" s="86" t="s">
        <v>80</v>
      </c>
      <c r="B4" s="87"/>
      <c r="C4" s="88"/>
      <c r="D4" s="88"/>
      <c r="E4" s="88"/>
      <c r="F4" s="89"/>
      <c r="G4" s="89"/>
      <c r="H4" s="89"/>
      <c r="I4" s="89"/>
      <c r="J4" s="89"/>
    </row>
    <row r="5" spans="1:10" ht="15.6">
      <c r="A5" s="86" t="s">
        <v>81</v>
      </c>
      <c r="B5" s="90">
        <v>1000</v>
      </c>
      <c r="C5" s="89"/>
      <c r="D5" s="89"/>
      <c r="E5" s="89"/>
      <c r="F5" s="89"/>
      <c r="G5" s="89"/>
      <c r="H5" s="89"/>
      <c r="I5" s="89"/>
      <c r="J5" s="89"/>
    </row>
    <row r="6" spans="1:10" ht="15.6">
      <c r="A6" s="86" t="s">
        <v>82</v>
      </c>
      <c r="B6" s="91">
        <v>0.08</v>
      </c>
      <c r="C6" s="89"/>
      <c r="D6" s="89"/>
      <c r="E6" s="89"/>
      <c r="F6" s="89"/>
      <c r="G6" s="89"/>
      <c r="H6" s="89"/>
      <c r="I6" s="89"/>
      <c r="J6" s="89"/>
    </row>
    <row r="7" spans="1:10" ht="15.6">
      <c r="A7" s="86" t="s">
        <v>83</v>
      </c>
      <c r="B7" s="91">
        <v>0.12</v>
      </c>
      <c r="C7" s="89"/>
      <c r="D7" s="89"/>
      <c r="E7" s="89"/>
      <c r="F7" s="89"/>
      <c r="G7" s="89"/>
      <c r="H7" s="89"/>
      <c r="I7" s="89"/>
      <c r="J7" s="89"/>
    </row>
    <row r="8" spans="1:10" ht="15.6">
      <c r="A8" s="87" t="s">
        <v>84</v>
      </c>
      <c r="B8" s="92"/>
      <c r="C8" s="89"/>
      <c r="D8" s="89"/>
      <c r="E8" s="89"/>
      <c r="F8" s="89"/>
      <c r="G8" s="89"/>
      <c r="H8" s="89"/>
      <c r="I8" s="89"/>
      <c r="J8" s="89"/>
    </row>
    <row r="9" spans="1:10" ht="15.6">
      <c r="A9" s="89"/>
      <c r="B9" s="89"/>
      <c r="C9" s="89"/>
      <c r="D9" s="89"/>
      <c r="E9" s="89"/>
      <c r="F9" s="89"/>
      <c r="G9" s="89"/>
      <c r="H9" s="89"/>
      <c r="I9" s="89"/>
      <c r="J9" s="89"/>
    </row>
    <row r="10" spans="1:10" ht="18.75" customHeight="1">
      <c r="A10" s="198" t="s">
        <v>85</v>
      </c>
      <c r="B10" s="198"/>
      <c r="C10" s="198"/>
      <c r="D10" s="198"/>
      <c r="E10" s="198"/>
      <c r="F10" s="198"/>
      <c r="G10" s="198"/>
      <c r="H10" s="198"/>
      <c r="I10" s="198"/>
      <c r="J10" s="198"/>
    </row>
    <row r="11" spans="1:10" ht="15.6">
      <c r="A11" s="93" t="s">
        <v>86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0" ht="15.6">
      <c r="A12" s="196" t="s">
        <v>87</v>
      </c>
      <c r="B12" s="89"/>
      <c r="C12" s="89"/>
      <c r="D12" s="89"/>
      <c r="E12" s="89"/>
      <c r="F12" s="89"/>
      <c r="G12" s="89"/>
      <c r="H12" s="89"/>
      <c r="I12" s="89"/>
      <c r="J12" s="89"/>
    </row>
    <row r="13" spans="1:10" ht="15.6">
      <c r="A13" s="196"/>
      <c r="B13" s="92"/>
      <c r="C13" s="89"/>
      <c r="D13" s="89"/>
      <c r="E13" s="89"/>
      <c r="F13" s="89"/>
      <c r="G13" s="89"/>
      <c r="H13" s="89"/>
      <c r="I13" s="89"/>
      <c r="J13" s="89"/>
    </row>
    <row r="14" spans="1:10" ht="15.6">
      <c r="A14" s="94" t="s">
        <v>88</v>
      </c>
      <c r="B14" s="95"/>
      <c r="C14" s="89"/>
      <c r="D14" s="89"/>
      <c r="E14" s="89"/>
      <c r="F14" s="89"/>
      <c r="G14" s="89"/>
      <c r="H14" s="89"/>
      <c r="I14" s="89"/>
      <c r="J14" s="89"/>
    </row>
    <row r="15" spans="1:10" ht="15.6">
      <c r="A15" s="86" t="s">
        <v>89</v>
      </c>
      <c r="B15" s="90">
        <f>B5*(1+B6)</f>
        <v>1080</v>
      </c>
      <c r="C15" s="89"/>
      <c r="D15" s="89"/>
      <c r="E15" s="89"/>
      <c r="F15" s="89"/>
      <c r="G15" s="89"/>
      <c r="H15" s="89"/>
      <c r="I15" s="89"/>
      <c r="J15" s="89"/>
    </row>
    <row r="16" spans="1:10" ht="15.6">
      <c r="A16" s="86" t="s">
        <v>82</v>
      </c>
      <c r="B16" s="91">
        <f>B6</f>
        <v>0.08</v>
      </c>
      <c r="C16" s="89"/>
      <c r="D16" s="89"/>
      <c r="E16" s="89"/>
      <c r="F16" s="89"/>
      <c r="G16" s="89"/>
      <c r="H16" s="89"/>
      <c r="I16" s="89"/>
      <c r="J16" s="89"/>
    </row>
    <row r="17" spans="1:10" ht="15.6">
      <c r="A17" s="86" t="s">
        <v>83</v>
      </c>
      <c r="B17" s="91">
        <f>B7</f>
        <v>0.12</v>
      </c>
      <c r="C17" s="89"/>
      <c r="D17" s="89"/>
      <c r="E17" s="89"/>
      <c r="F17" s="89"/>
      <c r="G17" s="89"/>
      <c r="H17" s="89"/>
      <c r="I17" s="89"/>
      <c r="J17" s="89"/>
    </row>
    <row r="18" spans="1:10" ht="15.6">
      <c r="A18" s="87" t="s">
        <v>84</v>
      </c>
      <c r="B18" s="92"/>
      <c r="C18" s="89"/>
      <c r="D18" s="89"/>
      <c r="E18" s="89"/>
      <c r="F18" s="89"/>
      <c r="G18" s="89"/>
      <c r="H18" s="89"/>
      <c r="I18" s="89"/>
      <c r="J18" s="89"/>
    </row>
    <row r="19" spans="1:10" ht="15.6">
      <c r="A19" s="89"/>
      <c r="B19" s="89"/>
      <c r="C19" s="89"/>
      <c r="D19" s="89"/>
      <c r="E19" s="89"/>
      <c r="F19" s="89"/>
      <c r="G19" s="89"/>
      <c r="H19" s="89"/>
      <c r="I19" s="89"/>
      <c r="J19" s="89"/>
    </row>
    <row r="20" spans="1:10" ht="15.6">
      <c r="A20" s="89"/>
      <c r="B20" s="89"/>
      <c r="C20" s="89"/>
      <c r="D20" s="89"/>
      <c r="E20" s="89"/>
      <c r="F20" s="89"/>
      <c r="G20" s="89"/>
      <c r="H20" s="89"/>
      <c r="I20" s="89"/>
      <c r="J20" s="89"/>
    </row>
  </sheetData>
  <mergeCells count="3">
    <mergeCell ref="A12:A13"/>
    <mergeCell ref="A2:J2"/>
    <mergeCell ref="A10:J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2:F16"/>
  <sheetViews>
    <sheetView workbookViewId="0">
      <selection activeCell="B17" sqref="B17"/>
    </sheetView>
  </sheetViews>
  <sheetFormatPr defaultColWidth="11.42578125" defaultRowHeight="14.45"/>
  <cols>
    <col min="2" max="2" width="22" customWidth="1"/>
    <col min="3" max="3" width="21.42578125" customWidth="1"/>
  </cols>
  <sheetData>
    <row r="2" spans="1:6" ht="18">
      <c r="A2" s="59"/>
      <c r="B2" s="58"/>
      <c r="C2" s="59"/>
      <c r="D2" s="59"/>
      <c r="E2" s="59"/>
      <c r="F2" s="59"/>
    </row>
    <row r="3" spans="1:6" ht="18">
      <c r="A3" s="59"/>
      <c r="B3" s="58"/>
      <c r="C3" s="59"/>
      <c r="D3" s="59"/>
      <c r="E3" s="59"/>
      <c r="F3" s="59"/>
    </row>
    <row r="4" spans="1:6" ht="18">
      <c r="A4" s="59"/>
      <c r="B4" s="58"/>
      <c r="C4" s="59"/>
      <c r="D4" s="59"/>
      <c r="E4" s="59"/>
      <c r="F4" s="59"/>
    </row>
    <row r="5" spans="1:6" ht="18">
      <c r="A5" s="59"/>
      <c r="B5" s="59"/>
      <c r="C5" s="59"/>
      <c r="D5" s="59"/>
      <c r="E5" s="59"/>
      <c r="F5" s="59"/>
    </row>
    <row r="6" spans="1:6" ht="18">
      <c r="A6" s="59"/>
      <c r="B6" s="59"/>
      <c r="C6" s="59"/>
      <c r="D6" s="59"/>
      <c r="E6" s="59"/>
      <c r="F6" s="59"/>
    </row>
    <row r="7" spans="1:6" ht="18">
      <c r="A7" s="59"/>
      <c r="B7" s="199" t="s">
        <v>90</v>
      </c>
      <c r="C7" s="200"/>
      <c r="D7" s="200"/>
      <c r="E7" s="200"/>
      <c r="F7" s="200"/>
    </row>
    <row r="8" spans="1:6" ht="18">
      <c r="A8" s="59"/>
      <c r="B8" s="65"/>
      <c r="C8" s="66"/>
      <c r="D8" s="66"/>
      <c r="E8" s="66"/>
      <c r="F8" s="66"/>
    </row>
    <row r="9" spans="1:6" ht="18">
      <c r="A9" s="59"/>
      <c r="B9" s="60" t="s">
        <v>91</v>
      </c>
      <c r="C9" s="118">
        <v>350000</v>
      </c>
    </row>
    <row r="10" spans="1:6" ht="18">
      <c r="A10" s="59"/>
      <c r="B10" s="60" t="s">
        <v>92</v>
      </c>
      <c r="C10" s="118">
        <v>50000</v>
      </c>
    </row>
    <row r="11" spans="1:6" ht="18">
      <c r="A11" s="59"/>
      <c r="B11" s="60" t="s">
        <v>93</v>
      </c>
      <c r="C11" s="59">
        <v>30</v>
      </c>
    </row>
    <row r="12" spans="1:6" ht="18.600000000000001" thickBot="1">
      <c r="A12" s="59"/>
      <c r="B12" s="60" t="s">
        <v>83</v>
      </c>
      <c r="C12" s="119">
        <v>7.0000000000000007E-2</v>
      </c>
    </row>
    <row r="13" spans="1:6" ht="36.6" thickBot="1">
      <c r="A13" s="59"/>
      <c r="B13" s="61" t="s">
        <v>94</v>
      </c>
      <c r="C13" s="132"/>
    </row>
    <row r="14" spans="1:6" ht="18">
      <c r="A14" s="59"/>
      <c r="C14">
        <v>-24175.921053333357</v>
      </c>
    </row>
    <row r="16" spans="1:6">
      <c r="B16" t="s">
        <v>95</v>
      </c>
    </row>
  </sheetData>
  <mergeCells count="1">
    <mergeCell ref="B7:F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C29"/>
  <sheetViews>
    <sheetView tabSelected="1" workbookViewId="0">
      <selection activeCell="C5" sqref="C5"/>
    </sheetView>
  </sheetViews>
  <sheetFormatPr defaultColWidth="11.42578125" defaultRowHeight="14.45"/>
  <cols>
    <col min="2" max="2" width="20.42578125" customWidth="1"/>
  </cols>
  <sheetData>
    <row r="1" spans="1:3">
      <c r="A1" s="1" t="s">
        <v>96</v>
      </c>
      <c r="C1" s="147" t="s">
        <v>97</v>
      </c>
    </row>
    <row r="3" spans="1:3">
      <c r="B3" s="57" t="s">
        <v>98</v>
      </c>
      <c r="C3">
        <v>250</v>
      </c>
    </row>
    <row r="4" spans="1:3">
      <c r="B4" s="57" t="s">
        <v>99</v>
      </c>
      <c r="C4" s="68">
        <v>20</v>
      </c>
    </row>
    <row r="7" spans="1:3">
      <c r="B7" s="69" t="s">
        <v>100</v>
      </c>
      <c r="C7" s="69" t="s">
        <v>39</v>
      </c>
    </row>
    <row r="8" spans="1:3">
      <c r="B8" s="67">
        <v>0.01</v>
      </c>
      <c r="C8" s="4">
        <f>$C$4/B8-$C$3</f>
        <v>1750</v>
      </c>
    </row>
    <row r="9" spans="1:3">
      <c r="B9" s="67">
        <v>0.02</v>
      </c>
      <c r="C9" s="4">
        <f t="shared" ref="C9:C29" si="0">$C$4/B9-$C$3</f>
        <v>750</v>
      </c>
    </row>
    <row r="10" spans="1:3">
      <c r="B10" s="67">
        <v>0.03</v>
      </c>
      <c r="C10" s="4">
        <f t="shared" si="0"/>
        <v>416.66666666666674</v>
      </c>
    </row>
    <row r="11" spans="1:3">
      <c r="B11" s="67">
        <v>0.04</v>
      </c>
      <c r="C11" s="4">
        <f t="shared" si="0"/>
        <v>250</v>
      </c>
    </row>
    <row r="12" spans="1:3">
      <c r="B12" s="67">
        <v>0.05</v>
      </c>
      <c r="C12" s="4">
        <f t="shared" si="0"/>
        <v>150</v>
      </c>
    </row>
    <row r="13" spans="1:3">
      <c r="B13" s="67">
        <v>0.06</v>
      </c>
      <c r="C13" s="4">
        <f t="shared" si="0"/>
        <v>83.333333333333371</v>
      </c>
    </row>
    <row r="14" spans="1:3">
      <c r="B14" s="67">
        <v>7.0000000000000007E-2</v>
      </c>
      <c r="C14" s="4">
        <f t="shared" si="0"/>
        <v>35.714285714285666</v>
      </c>
    </row>
    <row r="15" spans="1:3">
      <c r="B15" s="67">
        <v>0.08</v>
      </c>
      <c r="C15" s="4">
        <f t="shared" si="0"/>
        <v>0</v>
      </c>
    </row>
    <row r="16" spans="1:3">
      <c r="B16" s="67">
        <v>0.09</v>
      </c>
      <c r="C16" s="4">
        <f t="shared" si="0"/>
        <v>-27.777777777777771</v>
      </c>
    </row>
    <row r="17" spans="2:3">
      <c r="B17" s="67">
        <v>0.1</v>
      </c>
      <c r="C17" s="4">
        <f t="shared" si="0"/>
        <v>-50</v>
      </c>
    </row>
    <row r="18" spans="2:3">
      <c r="B18" s="67">
        <v>0.11</v>
      </c>
      <c r="C18" s="4">
        <f t="shared" si="0"/>
        <v>-68.181818181818187</v>
      </c>
    </row>
    <row r="19" spans="2:3">
      <c r="B19" s="67">
        <v>0.12</v>
      </c>
      <c r="C19" s="4">
        <f t="shared" si="0"/>
        <v>-83.333333333333314</v>
      </c>
    </row>
    <row r="20" spans="2:3">
      <c r="B20" s="67">
        <v>0.13</v>
      </c>
      <c r="C20" s="4">
        <f t="shared" si="0"/>
        <v>-96.15384615384616</v>
      </c>
    </row>
    <row r="21" spans="2:3">
      <c r="B21" s="67">
        <v>0.14000000000000001</v>
      </c>
      <c r="C21" s="4">
        <f t="shared" si="0"/>
        <v>-107.14285714285717</v>
      </c>
    </row>
    <row r="22" spans="2:3">
      <c r="B22" s="67">
        <v>0.15</v>
      </c>
      <c r="C22" s="4">
        <f t="shared" si="0"/>
        <v>-116.66666666666666</v>
      </c>
    </row>
    <row r="23" spans="2:3">
      <c r="B23" s="67">
        <v>0.16</v>
      </c>
      <c r="C23" s="4">
        <f t="shared" si="0"/>
        <v>-125</v>
      </c>
    </row>
    <row r="24" spans="2:3">
      <c r="B24" s="67">
        <v>0.17</v>
      </c>
      <c r="C24" s="4">
        <f t="shared" si="0"/>
        <v>-132.35294117647061</v>
      </c>
    </row>
    <row r="25" spans="2:3">
      <c r="B25" s="67">
        <v>0.18</v>
      </c>
      <c r="C25" s="4">
        <f t="shared" si="0"/>
        <v>-138.88888888888889</v>
      </c>
    </row>
    <row r="26" spans="2:3">
      <c r="B26" s="67">
        <v>0.2</v>
      </c>
      <c r="C26" s="4">
        <f t="shared" si="0"/>
        <v>-150</v>
      </c>
    </row>
    <row r="27" spans="2:3">
      <c r="B27" s="67">
        <v>0.21</v>
      </c>
      <c r="C27" s="4">
        <f t="shared" si="0"/>
        <v>-154.76190476190476</v>
      </c>
    </row>
    <row r="28" spans="2:3">
      <c r="B28" s="67">
        <v>0.25</v>
      </c>
      <c r="C28" s="4">
        <f t="shared" si="0"/>
        <v>-170</v>
      </c>
    </row>
    <row r="29" spans="2:3">
      <c r="B29" s="67">
        <v>0.3</v>
      </c>
      <c r="C29" s="4">
        <f t="shared" si="0"/>
        <v>-183.33333333333331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U38"/>
  <sheetViews>
    <sheetView workbookViewId="0">
      <selection activeCell="E15" sqref="E15"/>
    </sheetView>
  </sheetViews>
  <sheetFormatPr defaultColWidth="8.85546875" defaultRowHeight="14.45"/>
  <cols>
    <col min="1" max="1" width="8.85546875" style="64"/>
    <col min="2" max="2" width="7.42578125" style="64" customWidth="1"/>
    <col min="3" max="3" width="4.140625" style="64" bestFit="1" customWidth="1"/>
    <col min="4" max="4" width="51.140625" style="64" bestFit="1" customWidth="1"/>
    <col min="5" max="5" width="20.42578125" style="64" bestFit="1" customWidth="1"/>
    <col min="6" max="11" width="17.5703125" style="64" customWidth="1"/>
    <col min="12" max="21" width="11.5703125" style="64" bestFit="1" customWidth="1"/>
    <col min="22" max="257" width="8.85546875" style="64"/>
    <col min="258" max="258" width="7.42578125" style="64" customWidth="1"/>
    <col min="259" max="259" width="4.140625" style="64" bestFit="1" customWidth="1"/>
    <col min="260" max="260" width="51.140625" style="64" bestFit="1" customWidth="1"/>
    <col min="261" max="261" width="20.42578125" style="64" bestFit="1" customWidth="1"/>
    <col min="262" max="262" width="12.42578125" style="64" customWidth="1"/>
    <col min="263" max="266" width="12.42578125" style="64" bestFit="1" customWidth="1"/>
    <col min="267" max="267" width="12.140625" style="64" bestFit="1" customWidth="1"/>
    <col min="268" max="277" width="11.5703125" style="64" bestFit="1" customWidth="1"/>
    <col min="278" max="513" width="8.85546875" style="64"/>
    <col min="514" max="514" width="7.42578125" style="64" customWidth="1"/>
    <col min="515" max="515" width="4.140625" style="64" bestFit="1" customWidth="1"/>
    <col min="516" max="516" width="51.140625" style="64" bestFit="1" customWidth="1"/>
    <col min="517" max="517" width="20.42578125" style="64" bestFit="1" customWidth="1"/>
    <col min="518" max="518" width="12.42578125" style="64" customWidth="1"/>
    <col min="519" max="522" width="12.42578125" style="64" bestFit="1" customWidth="1"/>
    <col min="523" max="523" width="12.140625" style="64" bestFit="1" customWidth="1"/>
    <col min="524" max="533" width="11.5703125" style="64" bestFit="1" customWidth="1"/>
    <col min="534" max="769" width="8.85546875" style="64"/>
    <col min="770" max="770" width="7.42578125" style="64" customWidth="1"/>
    <col min="771" max="771" width="4.140625" style="64" bestFit="1" customWidth="1"/>
    <col min="772" max="772" width="51.140625" style="64" bestFit="1" customWidth="1"/>
    <col min="773" max="773" width="20.42578125" style="64" bestFit="1" customWidth="1"/>
    <col min="774" max="774" width="12.42578125" style="64" customWidth="1"/>
    <col min="775" max="778" width="12.42578125" style="64" bestFit="1" customWidth="1"/>
    <col min="779" max="779" width="12.140625" style="64" bestFit="1" customWidth="1"/>
    <col min="780" max="789" width="11.5703125" style="64" bestFit="1" customWidth="1"/>
    <col min="790" max="1025" width="8.85546875" style="64"/>
    <col min="1026" max="1026" width="7.42578125" style="64" customWidth="1"/>
    <col min="1027" max="1027" width="4.140625" style="64" bestFit="1" customWidth="1"/>
    <col min="1028" max="1028" width="51.140625" style="64" bestFit="1" customWidth="1"/>
    <col min="1029" max="1029" width="20.42578125" style="64" bestFit="1" customWidth="1"/>
    <col min="1030" max="1030" width="12.42578125" style="64" customWidth="1"/>
    <col min="1031" max="1034" width="12.42578125" style="64" bestFit="1" customWidth="1"/>
    <col min="1035" max="1035" width="12.140625" style="64" bestFit="1" customWidth="1"/>
    <col min="1036" max="1045" width="11.5703125" style="64" bestFit="1" customWidth="1"/>
    <col min="1046" max="1281" width="8.85546875" style="64"/>
    <col min="1282" max="1282" width="7.42578125" style="64" customWidth="1"/>
    <col min="1283" max="1283" width="4.140625" style="64" bestFit="1" customWidth="1"/>
    <col min="1284" max="1284" width="51.140625" style="64" bestFit="1" customWidth="1"/>
    <col min="1285" max="1285" width="20.42578125" style="64" bestFit="1" customWidth="1"/>
    <col min="1286" max="1286" width="12.42578125" style="64" customWidth="1"/>
    <col min="1287" max="1290" width="12.42578125" style="64" bestFit="1" customWidth="1"/>
    <col min="1291" max="1291" width="12.140625" style="64" bestFit="1" customWidth="1"/>
    <col min="1292" max="1301" width="11.5703125" style="64" bestFit="1" customWidth="1"/>
    <col min="1302" max="1537" width="8.85546875" style="64"/>
    <col min="1538" max="1538" width="7.42578125" style="64" customWidth="1"/>
    <col min="1539" max="1539" width="4.140625" style="64" bestFit="1" customWidth="1"/>
    <col min="1540" max="1540" width="51.140625" style="64" bestFit="1" customWidth="1"/>
    <col min="1541" max="1541" width="20.42578125" style="64" bestFit="1" customWidth="1"/>
    <col min="1542" max="1542" width="12.42578125" style="64" customWidth="1"/>
    <col min="1543" max="1546" width="12.42578125" style="64" bestFit="1" customWidth="1"/>
    <col min="1547" max="1547" width="12.140625" style="64" bestFit="1" customWidth="1"/>
    <col min="1548" max="1557" width="11.5703125" style="64" bestFit="1" customWidth="1"/>
    <col min="1558" max="1793" width="8.85546875" style="64"/>
    <col min="1794" max="1794" width="7.42578125" style="64" customWidth="1"/>
    <col min="1795" max="1795" width="4.140625" style="64" bestFit="1" customWidth="1"/>
    <col min="1796" max="1796" width="51.140625" style="64" bestFit="1" customWidth="1"/>
    <col min="1797" max="1797" width="20.42578125" style="64" bestFit="1" customWidth="1"/>
    <col min="1798" max="1798" width="12.42578125" style="64" customWidth="1"/>
    <col min="1799" max="1802" width="12.42578125" style="64" bestFit="1" customWidth="1"/>
    <col min="1803" max="1803" width="12.140625" style="64" bestFit="1" customWidth="1"/>
    <col min="1804" max="1813" width="11.5703125" style="64" bestFit="1" customWidth="1"/>
    <col min="1814" max="2049" width="8.85546875" style="64"/>
    <col min="2050" max="2050" width="7.42578125" style="64" customWidth="1"/>
    <col min="2051" max="2051" width="4.140625" style="64" bestFit="1" customWidth="1"/>
    <col min="2052" max="2052" width="51.140625" style="64" bestFit="1" customWidth="1"/>
    <col min="2053" max="2053" width="20.42578125" style="64" bestFit="1" customWidth="1"/>
    <col min="2054" max="2054" width="12.42578125" style="64" customWidth="1"/>
    <col min="2055" max="2058" width="12.42578125" style="64" bestFit="1" customWidth="1"/>
    <col min="2059" max="2059" width="12.140625" style="64" bestFit="1" customWidth="1"/>
    <col min="2060" max="2069" width="11.5703125" style="64" bestFit="1" customWidth="1"/>
    <col min="2070" max="2305" width="8.85546875" style="64"/>
    <col min="2306" max="2306" width="7.42578125" style="64" customWidth="1"/>
    <col min="2307" max="2307" width="4.140625" style="64" bestFit="1" customWidth="1"/>
    <col min="2308" max="2308" width="51.140625" style="64" bestFit="1" customWidth="1"/>
    <col min="2309" max="2309" width="20.42578125" style="64" bestFit="1" customWidth="1"/>
    <col min="2310" max="2310" width="12.42578125" style="64" customWidth="1"/>
    <col min="2311" max="2314" width="12.42578125" style="64" bestFit="1" customWidth="1"/>
    <col min="2315" max="2315" width="12.140625" style="64" bestFit="1" customWidth="1"/>
    <col min="2316" max="2325" width="11.5703125" style="64" bestFit="1" customWidth="1"/>
    <col min="2326" max="2561" width="8.85546875" style="64"/>
    <col min="2562" max="2562" width="7.42578125" style="64" customWidth="1"/>
    <col min="2563" max="2563" width="4.140625" style="64" bestFit="1" customWidth="1"/>
    <col min="2564" max="2564" width="51.140625" style="64" bestFit="1" customWidth="1"/>
    <col min="2565" max="2565" width="20.42578125" style="64" bestFit="1" customWidth="1"/>
    <col min="2566" max="2566" width="12.42578125" style="64" customWidth="1"/>
    <col min="2567" max="2570" width="12.42578125" style="64" bestFit="1" customWidth="1"/>
    <col min="2571" max="2571" width="12.140625" style="64" bestFit="1" customWidth="1"/>
    <col min="2572" max="2581" width="11.5703125" style="64" bestFit="1" customWidth="1"/>
    <col min="2582" max="2817" width="8.85546875" style="64"/>
    <col min="2818" max="2818" width="7.42578125" style="64" customWidth="1"/>
    <col min="2819" max="2819" width="4.140625" style="64" bestFit="1" customWidth="1"/>
    <col min="2820" max="2820" width="51.140625" style="64" bestFit="1" customWidth="1"/>
    <col min="2821" max="2821" width="20.42578125" style="64" bestFit="1" customWidth="1"/>
    <col min="2822" max="2822" width="12.42578125" style="64" customWidth="1"/>
    <col min="2823" max="2826" width="12.42578125" style="64" bestFit="1" customWidth="1"/>
    <col min="2827" max="2827" width="12.140625" style="64" bestFit="1" customWidth="1"/>
    <col min="2828" max="2837" width="11.5703125" style="64" bestFit="1" customWidth="1"/>
    <col min="2838" max="3073" width="8.85546875" style="64"/>
    <col min="3074" max="3074" width="7.42578125" style="64" customWidth="1"/>
    <col min="3075" max="3075" width="4.140625" style="64" bestFit="1" customWidth="1"/>
    <col min="3076" max="3076" width="51.140625" style="64" bestFit="1" customWidth="1"/>
    <col min="3077" max="3077" width="20.42578125" style="64" bestFit="1" customWidth="1"/>
    <col min="3078" max="3078" width="12.42578125" style="64" customWidth="1"/>
    <col min="3079" max="3082" width="12.42578125" style="64" bestFit="1" customWidth="1"/>
    <col min="3083" max="3083" width="12.140625" style="64" bestFit="1" customWidth="1"/>
    <col min="3084" max="3093" width="11.5703125" style="64" bestFit="1" customWidth="1"/>
    <col min="3094" max="3329" width="8.85546875" style="64"/>
    <col min="3330" max="3330" width="7.42578125" style="64" customWidth="1"/>
    <col min="3331" max="3331" width="4.140625" style="64" bestFit="1" customWidth="1"/>
    <col min="3332" max="3332" width="51.140625" style="64" bestFit="1" customWidth="1"/>
    <col min="3333" max="3333" width="20.42578125" style="64" bestFit="1" customWidth="1"/>
    <col min="3334" max="3334" width="12.42578125" style="64" customWidth="1"/>
    <col min="3335" max="3338" width="12.42578125" style="64" bestFit="1" customWidth="1"/>
    <col min="3339" max="3339" width="12.140625" style="64" bestFit="1" customWidth="1"/>
    <col min="3340" max="3349" width="11.5703125" style="64" bestFit="1" customWidth="1"/>
    <col min="3350" max="3585" width="8.85546875" style="64"/>
    <col min="3586" max="3586" width="7.42578125" style="64" customWidth="1"/>
    <col min="3587" max="3587" width="4.140625" style="64" bestFit="1" customWidth="1"/>
    <col min="3588" max="3588" width="51.140625" style="64" bestFit="1" customWidth="1"/>
    <col min="3589" max="3589" width="20.42578125" style="64" bestFit="1" customWidth="1"/>
    <col min="3590" max="3590" width="12.42578125" style="64" customWidth="1"/>
    <col min="3591" max="3594" width="12.42578125" style="64" bestFit="1" customWidth="1"/>
    <col min="3595" max="3595" width="12.140625" style="64" bestFit="1" customWidth="1"/>
    <col min="3596" max="3605" width="11.5703125" style="64" bestFit="1" customWidth="1"/>
    <col min="3606" max="3841" width="8.85546875" style="64"/>
    <col min="3842" max="3842" width="7.42578125" style="64" customWidth="1"/>
    <col min="3843" max="3843" width="4.140625" style="64" bestFit="1" customWidth="1"/>
    <col min="3844" max="3844" width="51.140625" style="64" bestFit="1" customWidth="1"/>
    <col min="3845" max="3845" width="20.42578125" style="64" bestFit="1" customWidth="1"/>
    <col min="3846" max="3846" width="12.42578125" style="64" customWidth="1"/>
    <col min="3847" max="3850" width="12.42578125" style="64" bestFit="1" customWidth="1"/>
    <col min="3851" max="3851" width="12.140625" style="64" bestFit="1" customWidth="1"/>
    <col min="3852" max="3861" width="11.5703125" style="64" bestFit="1" customWidth="1"/>
    <col min="3862" max="4097" width="8.85546875" style="64"/>
    <col min="4098" max="4098" width="7.42578125" style="64" customWidth="1"/>
    <col min="4099" max="4099" width="4.140625" style="64" bestFit="1" customWidth="1"/>
    <col min="4100" max="4100" width="51.140625" style="64" bestFit="1" customWidth="1"/>
    <col min="4101" max="4101" width="20.42578125" style="64" bestFit="1" customWidth="1"/>
    <col min="4102" max="4102" width="12.42578125" style="64" customWidth="1"/>
    <col min="4103" max="4106" width="12.42578125" style="64" bestFit="1" customWidth="1"/>
    <col min="4107" max="4107" width="12.140625" style="64" bestFit="1" customWidth="1"/>
    <col min="4108" max="4117" width="11.5703125" style="64" bestFit="1" customWidth="1"/>
    <col min="4118" max="4353" width="8.85546875" style="64"/>
    <col min="4354" max="4354" width="7.42578125" style="64" customWidth="1"/>
    <col min="4355" max="4355" width="4.140625" style="64" bestFit="1" customWidth="1"/>
    <col min="4356" max="4356" width="51.140625" style="64" bestFit="1" customWidth="1"/>
    <col min="4357" max="4357" width="20.42578125" style="64" bestFit="1" customWidth="1"/>
    <col min="4358" max="4358" width="12.42578125" style="64" customWidth="1"/>
    <col min="4359" max="4362" width="12.42578125" style="64" bestFit="1" customWidth="1"/>
    <col min="4363" max="4363" width="12.140625" style="64" bestFit="1" customWidth="1"/>
    <col min="4364" max="4373" width="11.5703125" style="64" bestFit="1" customWidth="1"/>
    <col min="4374" max="4609" width="8.85546875" style="64"/>
    <col min="4610" max="4610" width="7.42578125" style="64" customWidth="1"/>
    <col min="4611" max="4611" width="4.140625" style="64" bestFit="1" customWidth="1"/>
    <col min="4612" max="4612" width="51.140625" style="64" bestFit="1" customWidth="1"/>
    <col min="4613" max="4613" width="20.42578125" style="64" bestFit="1" customWidth="1"/>
    <col min="4614" max="4614" width="12.42578125" style="64" customWidth="1"/>
    <col min="4615" max="4618" width="12.42578125" style="64" bestFit="1" customWidth="1"/>
    <col min="4619" max="4619" width="12.140625" style="64" bestFit="1" customWidth="1"/>
    <col min="4620" max="4629" width="11.5703125" style="64" bestFit="1" customWidth="1"/>
    <col min="4630" max="4865" width="8.85546875" style="64"/>
    <col min="4866" max="4866" width="7.42578125" style="64" customWidth="1"/>
    <col min="4867" max="4867" width="4.140625" style="64" bestFit="1" customWidth="1"/>
    <col min="4868" max="4868" width="51.140625" style="64" bestFit="1" customWidth="1"/>
    <col min="4869" max="4869" width="20.42578125" style="64" bestFit="1" customWidth="1"/>
    <col min="4870" max="4870" width="12.42578125" style="64" customWidth="1"/>
    <col min="4871" max="4874" width="12.42578125" style="64" bestFit="1" customWidth="1"/>
    <col min="4875" max="4875" width="12.140625" style="64" bestFit="1" customWidth="1"/>
    <col min="4876" max="4885" width="11.5703125" style="64" bestFit="1" customWidth="1"/>
    <col min="4886" max="5121" width="8.85546875" style="64"/>
    <col min="5122" max="5122" width="7.42578125" style="64" customWidth="1"/>
    <col min="5123" max="5123" width="4.140625" style="64" bestFit="1" customWidth="1"/>
    <col min="5124" max="5124" width="51.140625" style="64" bestFit="1" customWidth="1"/>
    <col min="5125" max="5125" width="20.42578125" style="64" bestFit="1" customWidth="1"/>
    <col min="5126" max="5126" width="12.42578125" style="64" customWidth="1"/>
    <col min="5127" max="5130" width="12.42578125" style="64" bestFit="1" customWidth="1"/>
    <col min="5131" max="5131" width="12.140625" style="64" bestFit="1" customWidth="1"/>
    <col min="5132" max="5141" width="11.5703125" style="64" bestFit="1" customWidth="1"/>
    <col min="5142" max="5377" width="8.85546875" style="64"/>
    <col min="5378" max="5378" width="7.42578125" style="64" customWidth="1"/>
    <col min="5379" max="5379" width="4.140625" style="64" bestFit="1" customWidth="1"/>
    <col min="5380" max="5380" width="51.140625" style="64" bestFit="1" customWidth="1"/>
    <col min="5381" max="5381" width="20.42578125" style="64" bestFit="1" customWidth="1"/>
    <col min="5382" max="5382" width="12.42578125" style="64" customWidth="1"/>
    <col min="5383" max="5386" width="12.42578125" style="64" bestFit="1" customWidth="1"/>
    <col min="5387" max="5387" width="12.140625" style="64" bestFit="1" customWidth="1"/>
    <col min="5388" max="5397" width="11.5703125" style="64" bestFit="1" customWidth="1"/>
    <col min="5398" max="5633" width="8.85546875" style="64"/>
    <col min="5634" max="5634" width="7.42578125" style="64" customWidth="1"/>
    <col min="5635" max="5635" width="4.140625" style="64" bestFit="1" customWidth="1"/>
    <col min="5636" max="5636" width="51.140625" style="64" bestFit="1" customWidth="1"/>
    <col min="5637" max="5637" width="20.42578125" style="64" bestFit="1" customWidth="1"/>
    <col min="5638" max="5638" width="12.42578125" style="64" customWidth="1"/>
    <col min="5639" max="5642" width="12.42578125" style="64" bestFit="1" customWidth="1"/>
    <col min="5643" max="5643" width="12.140625" style="64" bestFit="1" customWidth="1"/>
    <col min="5644" max="5653" width="11.5703125" style="64" bestFit="1" customWidth="1"/>
    <col min="5654" max="5889" width="8.85546875" style="64"/>
    <col min="5890" max="5890" width="7.42578125" style="64" customWidth="1"/>
    <col min="5891" max="5891" width="4.140625" style="64" bestFit="1" customWidth="1"/>
    <col min="5892" max="5892" width="51.140625" style="64" bestFit="1" customWidth="1"/>
    <col min="5893" max="5893" width="20.42578125" style="64" bestFit="1" customWidth="1"/>
    <col min="5894" max="5894" width="12.42578125" style="64" customWidth="1"/>
    <col min="5895" max="5898" width="12.42578125" style="64" bestFit="1" customWidth="1"/>
    <col min="5899" max="5899" width="12.140625" style="64" bestFit="1" customWidth="1"/>
    <col min="5900" max="5909" width="11.5703125" style="64" bestFit="1" customWidth="1"/>
    <col min="5910" max="6145" width="8.85546875" style="64"/>
    <col min="6146" max="6146" width="7.42578125" style="64" customWidth="1"/>
    <col min="6147" max="6147" width="4.140625" style="64" bestFit="1" customWidth="1"/>
    <col min="6148" max="6148" width="51.140625" style="64" bestFit="1" customWidth="1"/>
    <col min="6149" max="6149" width="20.42578125" style="64" bestFit="1" customWidth="1"/>
    <col min="6150" max="6150" width="12.42578125" style="64" customWidth="1"/>
    <col min="6151" max="6154" width="12.42578125" style="64" bestFit="1" customWidth="1"/>
    <col min="6155" max="6155" width="12.140625" style="64" bestFit="1" customWidth="1"/>
    <col min="6156" max="6165" width="11.5703125" style="64" bestFit="1" customWidth="1"/>
    <col min="6166" max="6401" width="8.85546875" style="64"/>
    <col min="6402" max="6402" width="7.42578125" style="64" customWidth="1"/>
    <col min="6403" max="6403" width="4.140625" style="64" bestFit="1" customWidth="1"/>
    <col min="6404" max="6404" width="51.140625" style="64" bestFit="1" customWidth="1"/>
    <col min="6405" max="6405" width="20.42578125" style="64" bestFit="1" customWidth="1"/>
    <col min="6406" max="6406" width="12.42578125" style="64" customWidth="1"/>
    <col min="6407" max="6410" width="12.42578125" style="64" bestFit="1" customWidth="1"/>
    <col min="6411" max="6411" width="12.140625" style="64" bestFit="1" customWidth="1"/>
    <col min="6412" max="6421" width="11.5703125" style="64" bestFit="1" customWidth="1"/>
    <col min="6422" max="6657" width="8.85546875" style="64"/>
    <col min="6658" max="6658" width="7.42578125" style="64" customWidth="1"/>
    <col min="6659" max="6659" width="4.140625" style="64" bestFit="1" customWidth="1"/>
    <col min="6660" max="6660" width="51.140625" style="64" bestFit="1" customWidth="1"/>
    <col min="6661" max="6661" width="20.42578125" style="64" bestFit="1" customWidth="1"/>
    <col min="6662" max="6662" width="12.42578125" style="64" customWidth="1"/>
    <col min="6663" max="6666" width="12.42578125" style="64" bestFit="1" customWidth="1"/>
    <col min="6667" max="6667" width="12.140625" style="64" bestFit="1" customWidth="1"/>
    <col min="6668" max="6677" width="11.5703125" style="64" bestFit="1" customWidth="1"/>
    <col min="6678" max="6913" width="8.85546875" style="64"/>
    <col min="6914" max="6914" width="7.42578125" style="64" customWidth="1"/>
    <col min="6915" max="6915" width="4.140625" style="64" bestFit="1" customWidth="1"/>
    <col min="6916" max="6916" width="51.140625" style="64" bestFit="1" customWidth="1"/>
    <col min="6917" max="6917" width="20.42578125" style="64" bestFit="1" customWidth="1"/>
    <col min="6918" max="6918" width="12.42578125" style="64" customWidth="1"/>
    <col min="6919" max="6922" width="12.42578125" style="64" bestFit="1" customWidth="1"/>
    <col min="6923" max="6923" width="12.140625" style="64" bestFit="1" customWidth="1"/>
    <col min="6924" max="6933" width="11.5703125" style="64" bestFit="1" customWidth="1"/>
    <col min="6934" max="7169" width="8.85546875" style="64"/>
    <col min="7170" max="7170" width="7.42578125" style="64" customWidth="1"/>
    <col min="7171" max="7171" width="4.140625" style="64" bestFit="1" customWidth="1"/>
    <col min="7172" max="7172" width="51.140625" style="64" bestFit="1" customWidth="1"/>
    <col min="7173" max="7173" width="20.42578125" style="64" bestFit="1" customWidth="1"/>
    <col min="7174" max="7174" width="12.42578125" style="64" customWidth="1"/>
    <col min="7175" max="7178" width="12.42578125" style="64" bestFit="1" customWidth="1"/>
    <col min="7179" max="7179" width="12.140625" style="64" bestFit="1" customWidth="1"/>
    <col min="7180" max="7189" width="11.5703125" style="64" bestFit="1" customWidth="1"/>
    <col min="7190" max="7425" width="8.85546875" style="64"/>
    <col min="7426" max="7426" width="7.42578125" style="64" customWidth="1"/>
    <col min="7427" max="7427" width="4.140625" style="64" bestFit="1" customWidth="1"/>
    <col min="7428" max="7428" width="51.140625" style="64" bestFit="1" customWidth="1"/>
    <col min="7429" max="7429" width="20.42578125" style="64" bestFit="1" customWidth="1"/>
    <col min="7430" max="7430" width="12.42578125" style="64" customWidth="1"/>
    <col min="7431" max="7434" width="12.42578125" style="64" bestFit="1" customWidth="1"/>
    <col min="7435" max="7435" width="12.140625" style="64" bestFit="1" customWidth="1"/>
    <col min="7436" max="7445" width="11.5703125" style="64" bestFit="1" customWidth="1"/>
    <col min="7446" max="7681" width="8.85546875" style="64"/>
    <col min="7682" max="7682" width="7.42578125" style="64" customWidth="1"/>
    <col min="7683" max="7683" width="4.140625" style="64" bestFit="1" customWidth="1"/>
    <col min="7684" max="7684" width="51.140625" style="64" bestFit="1" customWidth="1"/>
    <col min="7685" max="7685" width="20.42578125" style="64" bestFit="1" customWidth="1"/>
    <col min="7686" max="7686" width="12.42578125" style="64" customWidth="1"/>
    <col min="7687" max="7690" width="12.42578125" style="64" bestFit="1" customWidth="1"/>
    <col min="7691" max="7691" width="12.140625" style="64" bestFit="1" customWidth="1"/>
    <col min="7692" max="7701" width="11.5703125" style="64" bestFit="1" customWidth="1"/>
    <col min="7702" max="7937" width="8.85546875" style="64"/>
    <col min="7938" max="7938" width="7.42578125" style="64" customWidth="1"/>
    <col min="7939" max="7939" width="4.140625" style="64" bestFit="1" customWidth="1"/>
    <col min="7940" max="7940" width="51.140625" style="64" bestFit="1" customWidth="1"/>
    <col min="7941" max="7941" width="20.42578125" style="64" bestFit="1" customWidth="1"/>
    <col min="7942" max="7942" width="12.42578125" style="64" customWidth="1"/>
    <col min="7943" max="7946" width="12.42578125" style="64" bestFit="1" customWidth="1"/>
    <col min="7947" max="7947" width="12.140625" style="64" bestFit="1" customWidth="1"/>
    <col min="7948" max="7957" width="11.5703125" style="64" bestFit="1" customWidth="1"/>
    <col min="7958" max="8193" width="8.85546875" style="64"/>
    <col min="8194" max="8194" width="7.42578125" style="64" customWidth="1"/>
    <col min="8195" max="8195" width="4.140625" style="64" bestFit="1" customWidth="1"/>
    <col min="8196" max="8196" width="51.140625" style="64" bestFit="1" customWidth="1"/>
    <col min="8197" max="8197" width="20.42578125" style="64" bestFit="1" customWidth="1"/>
    <col min="8198" max="8198" width="12.42578125" style="64" customWidth="1"/>
    <col min="8199" max="8202" width="12.42578125" style="64" bestFit="1" customWidth="1"/>
    <col min="8203" max="8203" width="12.140625" style="64" bestFit="1" customWidth="1"/>
    <col min="8204" max="8213" width="11.5703125" style="64" bestFit="1" customWidth="1"/>
    <col min="8214" max="8449" width="8.85546875" style="64"/>
    <col min="8450" max="8450" width="7.42578125" style="64" customWidth="1"/>
    <col min="8451" max="8451" width="4.140625" style="64" bestFit="1" customWidth="1"/>
    <col min="8452" max="8452" width="51.140625" style="64" bestFit="1" customWidth="1"/>
    <col min="8453" max="8453" width="20.42578125" style="64" bestFit="1" customWidth="1"/>
    <col min="8454" max="8454" width="12.42578125" style="64" customWidth="1"/>
    <col min="8455" max="8458" width="12.42578125" style="64" bestFit="1" customWidth="1"/>
    <col min="8459" max="8459" width="12.140625" style="64" bestFit="1" customWidth="1"/>
    <col min="8460" max="8469" width="11.5703125" style="64" bestFit="1" customWidth="1"/>
    <col min="8470" max="8705" width="8.85546875" style="64"/>
    <col min="8706" max="8706" width="7.42578125" style="64" customWidth="1"/>
    <col min="8707" max="8707" width="4.140625" style="64" bestFit="1" customWidth="1"/>
    <col min="8708" max="8708" width="51.140625" style="64" bestFit="1" customWidth="1"/>
    <col min="8709" max="8709" width="20.42578125" style="64" bestFit="1" customWidth="1"/>
    <col min="8710" max="8710" width="12.42578125" style="64" customWidth="1"/>
    <col min="8711" max="8714" width="12.42578125" style="64" bestFit="1" customWidth="1"/>
    <col min="8715" max="8715" width="12.140625" style="64" bestFit="1" customWidth="1"/>
    <col min="8716" max="8725" width="11.5703125" style="64" bestFit="1" customWidth="1"/>
    <col min="8726" max="8961" width="8.85546875" style="64"/>
    <col min="8962" max="8962" width="7.42578125" style="64" customWidth="1"/>
    <col min="8963" max="8963" width="4.140625" style="64" bestFit="1" customWidth="1"/>
    <col min="8964" max="8964" width="51.140625" style="64" bestFit="1" customWidth="1"/>
    <col min="8965" max="8965" width="20.42578125" style="64" bestFit="1" customWidth="1"/>
    <col min="8966" max="8966" width="12.42578125" style="64" customWidth="1"/>
    <col min="8967" max="8970" width="12.42578125" style="64" bestFit="1" customWidth="1"/>
    <col min="8971" max="8971" width="12.140625" style="64" bestFit="1" customWidth="1"/>
    <col min="8972" max="8981" width="11.5703125" style="64" bestFit="1" customWidth="1"/>
    <col min="8982" max="9217" width="8.85546875" style="64"/>
    <col min="9218" max="9218" width="7.42578125" style="64" customWidth="1"/>
    <col min="9219" max="9219" width="4.140625" style="64" bestFit="1" customWidth="1"/>
    <col min="9220" max="9220" width="51.140625" style="64" bestFit="1" customWidth="1"/>
    <col min="9221" max="9221" width="20.42578125" style="64" bestFit="1" customWidth="1"/>
    <col min="9222" max="9222" width="12.42578125" style="64" customWidth="1"/>
    <col min="9223" max="9226" width="12.42578125" style="64" bestFit="1" customWidth="1"/>
    <col min="9227" max="9227" width="12.140625" style="64" bestFit="1" customWidth="1"/>
    <col min="9228" max="9237" width="11.5703125" style="64" bestFit="1" customWidth="1"/>
    <col min="9238" max="9473" width="8.85546875" style="64"/>
    <col min="9474" max="9474" width="7.42578125" style="64" customWidth="1"/>
    <col min="9475" max="9475" width="4.140625" style="64" bestFit="1" customWidth="1"/>
    <col min="9476" max="9476" width="51.140625" style="64" bestFit="1" customWidth="1"/>
    <col min="9477" max="9477" width="20.42578125" style="64" bestFit="1" customWidth="1"/>
    <col min="9478" max="9478" width="12.42578125" style="64" customWidth="1"/>
    <col min="9479" max="9482" width="12.42578125" style="64" bestFit="1" customWidth="1"/>
    <col min="9483" max="9483" width="12.140625" style="64" bestFit="1" customWidth="1"/>
    <col min="9484" max="9493" width="11.5703125" style="64" bestFit="1" customWidth="1"/>
    <col min="9494" max="9729" width="8.85546875" style="64"/>
    <col min="9730" max="9730" width="7.42578125" style="64" customWidth="1"/>
    <col min="9731" max="9731" width="4.140625" style="64" bestFit="1" customWidth="1"/>
    <col min="9732" max="9732" width="51.140625" style="64" bestFit="1" customWidth="1"/>
    <col min="9733" max="9733" width="20.42578125" style="64" bestFit="1" customWidth="1"/>
    <col min="9734" max="9734" width="12.42578125" style="64" customWidth="1"/>
    <col min="9735" max="9738" width="12.42578125" style="64" bestFit="1" customWidth="1"/>
    <col min="9739" max="9739" width="12.140625" style="64" bestFit="1" customWidth="1"/>
    <col min="9740" max="9749" width="11.5703125" style="64" bestFit="1" customWidth="1"/>
    <col min="9750" max="9985" width="8.85546875" style="64"/>
    <col min="9986" max="9986" width="7.42578125" style="64" customWidth="1"/>
    <col min="9987" max="9987" width="4.140625" style="64" bestFit="1" customWidth="1"/>
    <col min="9988" max="9988" width="51.140625" style="64" bestFit="1" customWidth="1"/>
    <col min="9989" max="9989" width="20.42578125" style="64" bestFit="1" customWidth="1"/>
    <col min="9990" max="9990" width="12.42578125" style="64" customWidth="1"/>
    <col min="9991" max="9994" width="12.42578125" style="64" bestFit="1" customWidth="1"/>
    <col min="9995" max="9995" width="12.140625" style="64" bestFit="1" customWidth="1"/>
    <col min="9996" max="10005" width="11.5703125" style="64" bestFit="1" customWidth="1"/>
    <col min="10006" max="10241" width="8.85546875" style="64"/>
    <col min="10242" max="10242" width="7.42578125" style="64" customWidth="1"/>
    <col min="10243" max="10243" width="4.140625" style="64" bestFit="1" customWidth="1"/>
    <col min="10244" max="10244" width="51.140625" style="64" bestFit="1" customWidth="1"/>
    <col min="10245" max="10245" width="20.42578125" style="64" bestFit="1" customWidth="1"/>
    <col min="10246" max="10246" width="12.42578125" style="64" customWidth="1"/>
    <col min="10247" max="10250" width="12.42578125" style="64" bestFit="1" customWidth="1"/>
    <col min="10251" max="10251" width="12.140625" style="64" bestFit="1" customWidth="1"/>
    <col min="10252" max="10261" width="11.5703125" style="64" bestFit="1" customWidth="1"/>
    <col min="10262" max="10497" width="8.85546875" style="64"/>
    <col min="10498" max="10498" width="7.42578125" style="64" customWidth="1"/>
    <col min="10499" max="10499" width="4.140625" style="64" bestFit="1" customWidth="1"/>
    <col min="10500" max="10500" width="51.140625" style="64" bestFit="1" customWidth="1"/>
    <col min="10501" max="10501" width="20.42578125" style="64" bestFit="1" customWidth="1"/>
    <col min="10502" max="10502" width="12.42578125" style="64" customWidth="1"/>
    <col min="10503" max="10506" width="12.42578125" style="64" bestFit="1" customWidth="1"/>
    <col min="10507" max="10507" width="12.140625" style="64" bestFit="1" customWidth="1"/>
    <col min="10508" max="10517" width="11.5703125" style="64" bestFit="1" customWidth="1"/>
    <col min="10518" max="10753" width="8.85546875" style="64"/>
    <col min="10754" max="10754" width="7.42578125" style="64" customWidth="1"/>
    <col min="10755" max="10755" width="4.140625" style="64" bestFit="1" customWidth="1"/>
    <col min="10756" max="10756" width="51.140625" style="64" bestFit="1" customWidth="1"/>
    <col min="10757" max="10757" width="20.42578125" style="64" bestFit="1" customWidth="1"/>
    <col min="10758" max="10758" width="12.42578125" style="64" customWidth="1"/>
    <col min="10759" max="10762" width="12.42578125" style="64" bestFit="1" customWidth="1"/>
    <col min="10763" max="10763" width="12.140625" style="64" bestFit="1" customWidth="1"/>
    <col min="10764" max="10773" width="11.5703125" style="64" bestFit="1" customWidth="1"/>
    <col min="10774" max="11009" width="8.85546875" style="64"/>
    <col min="11010" max="11010" width="7.42578125" style="64" customWidth="1"/>
    <col min="11011" max="11011" width="4.140625" style="64" bestFit="1" customWidth="1"/>
    <col min="11012" max="11012" width="51.140625" style="64" bestFit="1" customWidth="1"/>
    <col min="11013" max="11013" width="20.42578125" style="64" bestFit="1" customWidth="1"/>
    <col min="11014" max="11014" width="12.42578125" style="64" customWidth="1"/>
    <col min="11015" max="11018" width="12.42578125" style="64" bestFit="1" customWidth="1"/>
    <col min="11019" max="11019" width="12.140625" style="64" bestFit="1" customWidth="1"/>
    <col min="11020" max="11029" width="11.5703125" style="64" bestFit="1" customWidth="1"/>
    <col min="11030" max="11265" width="8.85546875" style="64"/>
    <col min="11266" max="11266" width="7.42578125" style="64" customWidth="1"/>
    <col min="11267" max="11267" width="4.140625" style="64" bestFit="1" customWidth="1"/>
    <col min="11268" max="11268" width="51.140625" style="64" bestFit="1" customWidth="1"/>
    <col min="11269" max="11269" width="20.42578125" style="64" bestFit="1" customWidth="1"/>
    <col min="11270" max="11270" width="12.42578125" style="64" customWidth="1"/>
    <col min="11271" max="11274" width="12.42578125" style="64" bestFit="1" customWidth="1"/>
    <col min="11275" max="11275" width="12.140625" style="64" bestFit="1" customWidth="1"/>
    <col min="11276" max="11285" width="11.5703125" style="64" bestFit="1" customWidth="1"/>
    <col min="11286" max="11521" width="8.85546875" style="64"/>
    <col min="11522" max="11522" width="7.42578125" style="64" customWidth="1"/>
    <col min="11523" max="11523" width="4.140625" style="64" bestFit="1" customWidth="1"/>
    <col min="11524" max="11524" width="51.140625" style="64" bestFit="1" customWidth="1"/>
    <col min="11525" max="11525" width="20.42578125" style="64" bestFit="1" customWidth="1"/>
    <col min="11526" max="11526" width="12.42578125" style="64" customWidth="1"/>
    <col min="11527" max="11530" width="12.42578125" style="64" bestFit="1" customWidth="1"/>
    <col min="11531" max="11531" width="12.140625" style="64" bestFit="1" customWidth="1"/>
    <col min="11532" max="11541" width="11.5703125" style="64" bestFit="1" customWidth="1"/>
    <col min="11542" max="11777" width="8.85546875" style="64"/>
    <col min="11778" max="11778" width="7.42578125" style="64" customWidth="1"/>
    <col min="11779" max="11779" width="4.140625" style="64" bestFit="1" customWidth="1"/>
    <col min="11780" max="11780" width="51.140625" style="64" bestFit="1" customWidth="1"/>
    <col min="11781" max="11781" width="20.42578125" style="64" bestFit="1" customWidth="1"/>
    <col min="11782" max="11782" width="12.42578125" style="64" customWidth="1"/>
    <col min="11783" max="11786" width="12.42578125" style="64" bestFit="1" customWidth="1"/>
    <col min="11787" max="11787" width="12.140625" style="64" bestFit="1" customWidth="1"/>
    <col min="11788" max="11797" width="11.5703125" style="64" bestFit="1" customWidth="1"/>
    <col min="11798" max="12033" width="8.85546875" style="64"/>
    <col min="12034" max="12034" width="7.42578125" style="64" customWidth="1"/>
    <col min="12035" max="12035" width="4.140625" style="64" bestFit="1" customWidth="1"/>
    <col min="12036" max="12036" width="51.140625" style="64" bestFit="1" customWidth="1"/>
    <col min="12037" max="12037" width="20.42578125" style="64" bestFit="1" customWidth="1"/>
    <col min="12038" max="12038" width="12.42578125" style="64" customWidth="1"/>
    <col min="12039" max="12042" width="12.42578125" style="64" bestFit="1" customWidth="1"/>
    <col min="12043" max="12043" width="12.140625" style="64" bestFit="1" customWidth="1"/>
    <col min="12044" max="12053" width="11.5703125" style="64" bestFit="1" customWidth="1"/>
    <col min="12054" max="12289" width="8.85546875" style="64"/>
    <col min="12290" max="12290" width="7.42578125" style="64" customWidth="1"/>
    <col min="12291" max="12291" width="4.140625" style="64" bestFit="1" customWidth="1"/>
    <col min="12292" max="12292" width="51.140625" style="64" bestFit="1" customWidth="1"/>
    <col min="12293" max="12293" width="20.42578125" style="64" bestFit="1" customWidth="1"/>
    <col min="12294" max="12294" width="12.42578125" style="64" customWidth="1"/>
    <col min="12295" max="12298" width="12.42578125" style="64" bestFit="1" customWidth="1"/>
    <col min="12299" max="12299" width="12.140625" style="64" bestFit="1" customWidth="1"/>
    <col min="12300" max="12309" width="11.5703125" style="64" bestFit="1" customWidth="1"/>
    <col min="12310" max="12545" width="8.85546875" style="64"/>
    <col min="12546" max="12546" width="7.42578125" style="64" customWidth="1"/>
    <col min="12547" max="12547" width="4.140625" style="64" bestFit="1" customWidth="1"/>
    <col min="12548" max="12548" width="51.140625" style="64" bestFit="1" customWidth="1"/>
    <col min="12549" max="12549" width="20.42578125" style="64" bestFit="1" customWidth="1"/>
    <col min="12550" max="12550" width="12.42578125" style="64" customWidth="1"/>
    <col min="12551" max="12554" width="12.42578125" style="64" bestFit="1" customWidth="1"/>
    <col min="12555" max="12555" width="12.140625" style="64" bestFit="1" customWidth="1"/>
    <col min="12556" max="12565" width="11.5703125" style="64" bestFit="1" customWidth="1"/>
    <col min="12566" max="12801" width="8.85546875" style="64"/>
    <col min="12802" max="12802" width="7.42578125" style="64" customWidth="1"/>
    <col min="12803" max="12803" width="4.140625" style="64" bestFit="1" customWidth="1"/>
    <col min="12804" max="12804" width="51.140625" style="64" bestFit="1" customWidth="1"/>
    <col min="12805" max="12805" width="20.42578125" style="64" bestFit="1" customWidth="1"/>
    <col min="12806" max="12806" width="12.42578125" style="64" customWidth="1"/>
    <col min="12807" max="12810" width="12.42578125" style="64" bestFit="1" customWidth="1"/>
    <col min="12811" max="12811" width="12.140625" style="64" bestFit="1" customWidth="1"/>
    <col min="12812" max="12821" width="11.5703125" style="64" bestFit="1" customWidth="1"/>
    <col min="12822" max="13057" width="8.85546875" style="64"/>
    <col min="13058" max="13058" width="7.42578125" style="64" customWidth="1"/>
    <col min="13059" max="13059" width="4.140625" style="64" bestFit="1" customWidth="1"/>
    <col min="13060" max="13060" width="51.140625" style="64" bestFit="1" customWidth="1"/>
    <col min="13061" max="13061" width="20.42578125" style="64" bestFit="1" customWidth="1"/>
    <col min="13062" max="13062" width="12.42578125" style="64" customWidth="1"/>
    <col min="13063" max="13066" width="12.42578125" style="64" bestFit="1" customWidth="1"/>
    <col min="13067" max="13067" width="12.140625" style="64" bestFit="1" customWidth="1"/>
    <col min="13068" max="13077" width="11.5703125" style="64" bestFit="1" customWidth="1"/>
    <col min="13078" max="13313" width="8.85546875" style="64"/>
    <col min="13314" max="13314" width="7.42578125" style="64" customWidth="1"/>
    <col min="13315" max="13315" width="4.140625" style="64" bestFit="1" customWidth="1"/>
    <col min="13316" max="13316" width="51.140625" style="64" bestFit="1" customWidth="1"/>
    <col min="13317" max="13317" width="20.42578125" style="64" bestFit="1" customWidth="1"/>
    <col min="13318" max="13318" width="12.42578125" style="64" customWidth="1"/>
    <col min="13319" max="13322" width="12.42578125" style="64" bestFit="1" customWidth="1"/>
    <col min="13323" max="13323" width="12.140625" style="64" bestFit="1" customWidth="1"/>
    <col min="13324" max="13333" width="11.5703125" style="64" bestFit="1" customWidth="1"/>
    <col min="13334" max="13569" width="8.85546875" style="64"/>
    <col min="13570" max="13570" width="7.42578125" style="64" customWidth="1"/>
    <col min="13571" max="13571" width="4.140625" style="64" bestFit="1" customWidth="1"/>
    <col min="13572" max="13572" width="51.140625" style="64" bestFit="1" customWidth="1"/>
    <col min="13573" max="13573" width="20.42578125" style="64" bestFit="1" customWidth="1"/>
    <col min="13574" max="13574" width="12.42578125" style="64" customWidth="1"/>
    <col min="13575" max="13578" width="12.42578125" style="64" bestFit="1" customWidth="1"/>
    <col min="13579" max="13579" width="12.140625" style="64" bestFit="1" customWidth="1"/>
    <col min="13580" max="13589" width="11.5703125" style="64" bestFit="1" customWidth="1"/>
    <col min="13590" max="13825" width="8.85546875" style="64"/>
    <col min="13826" max="13826" width="7.42578125" style="64" customWidth="1"/>
    <col min="13827" max="13827" width="4.140625" style="64" bestFit="1" customWidth="1"/>
    <col min="13828" max="13828" width="51.140625" style="64" bestFit="1" customWidth="1"/>
    <col min="13829" max="13829" width="20.42578125" style="64" bestFit="1" customWidth="1"/>
    <col min="13830" max="13830" width="12.42578125" style="64" customWidth="1"/>
    <col min="13831" max="13834" width="12.42578125" style="64" bestFit="1" customWidth="1"/>
    <col min="13835" max="13835" width="12.140625" style="64" bestFit="1" customWidth="1"/>
    <col min="13836" max="13845" width="11.5703125" style="64" bestFit="1" customWidth="1"/>
    <col min="13846" max="14081" width="8.85546875" style="64"/>
    <col min="14082" max="14082" width="7.42578125" style="64" customWidth="1"/>
    <col min="14083" max="14083" width="4.140625" style="64" bestFit="1" customWidth="1"/>
    <col min="14084" max="14084" width="51.140625" style="64" bestFit="1" customWidth="1"/>
    <col min="14085" max="14085" width="20.42578125" style="64" bestFit="1" customWidth="1"/>
    <col min="14086" max="14086" width="12.42578125" style="64" customWidth="1"/>
    <col min="14087" max="14090" width="12.42578125" style="64" bestFit="1" customWidth="1"/>
    <col min="14091" max="14091" width="12.140625" style="64" bestFit="1" customWidth="1"/>
    <col min="14092" max="14101" width="11.5703125" style="64" bestFit="1" customWidth="1"/>
    <col min="14102" max="14337" width="8.85546875" style="64"/>
    <col min="14338" max="14338" width="7.42578125" style="64" customWidth="1"/>
    <col min="14339" max="14339" width="4.140625" style="64" bestFit="1" customWidth="1"/>
    <col min="14340" max="14340" width="51.140625" style="64" bestFit="1" customWidth="1"/>
    <col min="14341" max="14341" width="20.42578125" style="64" bestFit="1" customWidth="1"/>
    <col min="14342" max="14342" width="12.42578125" style="64" customWidth="1"/>
    <col min="14343" max="14346" width="12.42578125" style="64" bestFit="1" customWidth="1"/>
    <col min="14347" max="14347" width="12.140625" style="64" bestFit="1" customWidth="1"/>
    <col min="14348" max="14357" width="11.5703125" style="64" bestFit="1" customWidth="1"/>
    <col min="14358" max="14593" width="8.85546875" style="64"/>
    <col min="14594" max="14594" width="7.42578125" style="64" customWidth="1"/>
    <col min="14595" max="14595" width="4.140625" style="64" bestFit="1" customWidth="1"/>
    <col min="14596" max="14596" width="51.140625" style="64" bestFit="1" customWidth="1"/>
    <col min="14597" max="14597" width="20.42578125" style="64" bestFit="1" customWidth="1"/>
    <col min="14598" max="14598" width="12.42578125" style="64" customWidth="1"/>
    <col min="14599" max="14602" width="12.42578125" style="64" bestFit="1" customWidth="1"/>
    <col min="14603" max="14603" width="12.140625" style="64" bestFit="1" customWidth="1"/>
    <col min="14604" max="14613" width="11.5703125" style="64" bestFit="1" customWidth="1"/>
    <col min="14614" max="14849" width="8.85546875" style="64"/>
    <col min="14850" max="14850" width="7.42578125" style="64" customWidth="1"/>
    <col min="14851" max="14851" width="4.140625" style="64" bestFit="1" customWidth="1"/>
    <col min="14852" max="14852" width="51.140625" style="64" bestFit="1" customWidth="1"/>
    <col min="14853" max="14853" width="20.42578125" style="64" bestFit="1" customWidth="1"/>
    <col min="14854" max="14854" width="12.42578125" style="64" customWidth="1"/>
    <col min="14855" max="14858" width="12.42578125" style="64" bestFit="1" customWidth="1"/>
    <col min="14859" max="14859" width="12.140625" style="64" bestFit="1" customWidth="1"/>
    <col min="14860" max="14869" width="11.5703125" style="64" bestFit="1" customWidth="1"/>
    <col min="14870" max="15105" width="8.85546875" style="64"/>
    <col min="15106" max="15106" width="7.42578125" style="64" customWidth="1"/>
    <col min="15107" max="15107" width="4.140625" style="64" bestFit="1" customWidth="1"/>
    <col min="15108" max="15108" width="51.140625" style="64" bestFit="1" customWidth="1"/>
    <col min="15109" max="15109" width="20.42578125" style="64" bestFit="1" customWidth="1"/>
    <col min="15110" max="15110" width="12.42578125" style="64" customWidth="1"/>
    <col min="15111" max="15114" width="12.42578125" style="64" bestFit="1" customWidth="1"/>
    <col min="15115" max="15115" width="12.140625" style="64" bestFit="1" customWidth="1"/>
    <col min="15116" max="15125" width="11.5703125" style="64" bestFit="1" customWidth="1"/>
    <col min="15126" max="15361" width="8.85546875" style="64"/>
    <col min="15362" max="15362" width="7.42578125" style="64" customWidth="1"/>
    <col min="15363" max="15363" width="4.140625" style="64" bestFit="1" customWidth="1"/>
    <col min="15364" max="15364" width="51.140625" style="64" bestFit="1" customWidth="1"/>
    <col min="15365" max="15365" width="20.42578125" style="64" bestFit="1" customWidth="1"/>
    <col min="15366" max="15366" width="12.42578125" style="64" customWidth="1"/>
    <col min="15367" max="15370" width="12.42578125" style="64" bestFit="1" customWidth="1"/>
    <col min="15371" max="15371" width="12.140625" style="64" bestFit="1" customWidth="1"/>
    <col min="15372" max="15381" width="11.5703125" style="64" bestFit="1" customWidth="1"/>
    <col min="15382" max="15617" width="8.85546875" style="64"/>
    <col min="15618" max="15618" width="7.42578125" style="64" customWidth="1"/>
    <col min="15619" max="15619" width="4.140625" style="64" bestFit="1" customWidth="1"/>
    <col min="15620" max="15620" width="51.140625" style="64" bestFit="1" customWidth="1"/>
    <col min="15621" max="15621" width="20.42578125" style="64" bestFit="1" customWidth="1"/>
    <col min="15622" max="15622" width="12.42578125" style="64" customWidth="1"/>
    <col min="15623" max="15626" width="12.42578125" style="64" bestFit="1" customWidth="1"/>
    <col min="15627" max="15627" width="12.140625" style="64" bestFit="1" customWidth="1"/>
    <col min="15628" max="15637" width="11.5703125" style="64" bestFit="1" customWidth="1"/>
    <col min="15638" max="15873" width="8.85546875" style="64"/>
    <col min="15874" max="15874" width="7.42578125" style="64" customWidth="1"/>
    <col min="15875" max="15875" width="4.140625" style="64" bestFit="1" customWidth="1"/>
    <col min="15876" max="15876" width="51.140625" style="64" bestFit="1" customWidth="1"/>
    <col min="15877" max="15877" width="20.42578125" style="64" bestFit="1" customWidth="1"/>
    <col min="15878" max="15878" width="12.42578125" style="64" customWidth="1"/>
    <col min="15879" max="15882" width="12.42578125" style="64" bestFit="1" customWidth="1"/>
    <col min="15883" max="15883" width="12.140625" style="64" bestFit="1" customWidth="1"/>
    <col min="15884" max="15893" width="11.5703125" style="64" bestFit="1" customWidth="1"/>
    <col min="15894" max="16129" width="8.85546875" style="64"/>
    <col min="16130" max="16130" width="7.42578125" style="64" customWidth="1"/>
    <col min="16131" max="16131" width="4.140625" style="64" bestFit="1" customWidth="1"/>
    <col min="16132" max="16132" width="51.140625" style="64" bestFit="1" customWidth="1"/>
    <col min="16133" max="16133" width="20.42578125" style="64" bestFit="1" customWidth="1"/>
    <col min="16134" max="16134" width="12.42578125" style="64" customWidth="1"/>
    <col min="16135" max="16138" width="12.42578125" style="64" bestFit="1" customWidth="1"/>
    <col min="16139" max="16139" width="12.140625" style="64" bestFit="1" customWidth="1"/>
    <col min="16140" max="16149" width="11.5703125" style="64" bestFit="1" customWidth="1"/>
    <col min="16150" max="16384" width="8.85546875" style="64"/>
  </cols>
  <sheetData>
    <row r="1" spans="1:13" s="59" customFormat="1" ht="18">
      <c r="B1" s="96" t="s">
        <v>101</v>
      </c>
    </row>
    <row r="2" spans="1:13" s="59" customFormat="1" ht="18">
      <c r="L2" s="62"/>
      <c r="M2" s="62"/>
    </row>
    <row r="3" spans="1:13" s="59" customFormat="1" ht="37.5" customHeight="1">
      <c r="B3" s="192" t="s">
        <v>102</v>
      </c>
      <c r="C3" s="192"/>
      <c r="D3" s="192"/>
      <c r="E3" s="192"/>
      <c r="F3" s="192"/>
      <c r="G3" s="192"/>
      <c r="H3" s="192"/>
      <c r="I3" s="192"/>
      <c r="J3" s="192"/>
      <c r="M3" s="62"/>
    </row>
    <row r="4" spans="1:13" s="59" customFormat="1" ht="36.75" customHeight="1">
      <c r="B4" s="99" t="s">
        <v>53</v>
      </c>
      <c r="C4" s="201" t="s">
        <v>103</v>
      </c>
      <c r="D4" s="201"/>
      <c r="E4" s="201"/>
      <c r="F4" s="201"/>
      <c r="G4" s="201"/>
      <c r="H4" s="201"/>
      <c r="I4" s="201"/>
      <c r="J4" s="18"/>
      <c r="M4" s="62"/>
    </row>
    <row r="5" spans="1:13" s="59" customFormat="1" ht="36.75" customHeight="1">
      <c r="B5" s="99" t="s">
        <v>55</v>
      </c>
      <c r="C5" s="201" t="s">
        <v>104</v>
      </c>
      <c r="D5" s="201"/>
      <c r="E5" s="201"/>
      <c r="F5" s="201"/>
      <c r="G5" s="201"/>
      <c r="H5" s="201"/>
      <c r="I5" s="201"/>
      <c r="J5" s="18"/>
      <c r="M5" s="62"/>
    </row>
    <row r="6" spans="1:13" s="59" customFormat="1" ht="18.600000000000001">
      <c r="B6" s="99" t="s">
        <v>57</v>
      </c>
      <c r="C6" s="201" t="s">
        <v>105</v>
      </c>
      <c r="D6" s="201"/>
      <c r="E6" s="201"/>
      <c r="F6" s="201"/>
      <c r="G6" s="201"/>
      <c r="H6" s="201"/>
      <c r="I6" s="201"/>
      <c r="J6" s="18"/>
      <c r="M6" s="62"/>
    </row>
    <row r="7" spans="1:13" s="59" customFormat="1" ht="13.5" customHeight="1">
      <c r="B7" s="16"/>
      <c r="C7" s="16"/>
      <c r="D7" s="16"/>
      <c r="E7" s="16"/>
      <c r="F7" s="16"/>
      <c r="G7" s="16"/>
      <c r="H7" s="16"/>
      <c r="I7" s="16"/>
      <c r="J7" s="18"/>
      <c r="M7" s="62"/>
    </row>
    <row r="8" spans="1:13" ht="18.600000000000001">
      <c r="A8" s="63"/>
      <c r="B8" s="100"/>
      <c r="C8" s="101" t="s">
        <v>53</v>
      </c>
      <c r="D8" s="102" t="s">
        <v>106</v>
      </c>
      <c r="E8" s="114">
        <v>200000</v>
      </c>
      <c r="F8" s="97"/>
    </row>
    <row r="9" spans="1:13" ht="18.600000000000001">
      <c r="A9" s="63"/>
      <c r="B9" s="100"/>
      <c r="C9" s="100"/>
      <c r="D9" s="102" t="s">
        <v>107</v>
      </c>
      <c r="E9" s="115">
        <v>6</v>
      </c>
    </row>
    <row r="10" spans="1:13" ht="18.600000000000001">
      <c r="A10" s="63"/>
      <c r="B10" s="100"/>
      <c r="C10" s="100"/>
      <c r="D10" s="102" t="s">
        <v>108</v>
      </c>
      <c r="E10" s="114">
        <v>300000</v>
      </c>
      <c r="F10" s="97"/>
    </row>
    <row r="11" spans="1:13" ht="18.600000000000001">
      <c r="A11" s="63"/>
      <c r="B11" s="100"/>
      <c r="C11" s="100"/>
      <c r="D11" s="102" t="s">
        <v>109</v>
      </c>
      <c r="E11" s="115">
        <v>10</v>
      </c>
      <c r="F11" s="97"/>
    </row>
    <row r="12" spans="1:13" ht="18.600000000000001">
      <c r="A12" s="63"/>
      <c r="B12" s="100"/>
      <c r="C12" s="100"/>
      <c r="D12" s="102" t="s">
        <v>110</v>
      </c>
      <c r="E12" s="116">
        <v>0.1</v>
      </c>
    </row>
    <row r="13" spans="1:13" ht="18.600000000000001">
      <c r="A13" s="63"/>
      <c r="B13" s="100"/>
      <c r="C13" s="100"/>
      <c r="D13" s="16" t="s">
        <v>111</v>
      </c>
      <c r="E13" s="106">
        <f>-PV(E12,E9,E8)</f>
        <v>871052.13989244564</v>
      </c>
    </row>
    <row r="14" spans="1:13" ht="18.600000000000001">
      <c r="A14" s="63"/>
      <c r="B14" s="100"/>
      <c r="C14" s="100"/>
      <c r="D14" s="16" t="s">
        <v>112</v>
      </c>
      <c r="E14" s="106">
        <f>-PV(E12,E11,E10)*(1/(1+E12)^E9)</f>
        <v>1040534.3827908859</v>
      </c>
    </row>
    <row r="15" spans="1:13" ht="18.600000000000001">
      <c r="A15" s="63"/>
      <c r="C15" s="101"/>
      <c r="D15" s="16" t="s">
        <v>39</v>
      </c>
      <c r="E15" s="106">
        <f>E14-E13</f>
        <v>169482.24289844022</v>
      </c>
    </row>
    <row r="16" spans="1:13" ht="18.600000000000001">
      <c r="A16" s="63"/>
      <c r="D16" s="107" t="str">
        <f>IF(E15&gt;0,"Yes, they should invest","No, they should not invest")</f>
        <v>Yes, they should invest</v>
      </c>
    </row>
    <row r="17" spans="1:21" ht="18.600000000000001">
      <c r="A17" s="63"/>
      <c r="C17" s="101"/>
      <c r="D17" s="108"/>
      <c r="E17" s="110">
        <v>0</v>
      </c>
      <c r="F17" s="110">
        <v>1</v>
      </c>
      <c r="G17" s="110">
        <v>2</v>
      </c>
      <c r="H17" s="110">
        <v>3</v>
      </c>
      <c r="I17" s="110">
        <v>4</v>
      </c>
      <c r="J17" s="110">
        <v>5</v>
      </c>
      <c r="K17" s="111">
        <v>6</v>
      </c>
      <c r="L17" s="111">
        <v>7</v>
      </c>
      <c r="M17" s="111">
        <v>8</v>
      </c>
      <c r="N17" s="111">
        <v>9</v>
      </c>
      <c r="O17" s="111">
        <v>10</v>
      </c>
      <c r="P17" s="111">
        <v>11</v>
      </c>
      <c r="Q17" s="111">
        <v>12</v>
      </c>
      <c r="R17" s="111">
        <v>13</v>
      </c>
      <c r="S17" s="111">
        <v>14</v>
      </c>
      <c r="T17" s="111">
        <v>15</v>
      </c>
      <c r="U17" s="111">
        <v>16</v>
      </c>
    </row>
    <row r="18" spans="1:21" ht="18.95" thickBot="1">
      <c r="A18" s="63"/>
      <c r="C18" s="101" t="s">
        <v>55</v>
      </c>
      <c r="D18" s="16" t="s">
        <v>113</v>
      </c>
      <c r="E18" s="134">
        <v>0</v>
      </c>
      <c r="F18" s="112">
        <v>-200000</v>
      </c>
      <c r="G18" s="112">
        <v>-200000</v>
      </c>
      <c r="H18" s="112">
        <v>-200000</v>
      </c>
      <c r="I18" s="112">
        <v>-200000</v>
      </c>
      <c r="J18" s="112">
        <v>-200000</v>
      </c>
      <c r="K18" s="113">
        <v>-200000</v>
      </c>
      <c r="L18" s="111">
        <v>300000</v>
      </c>
      <c r="M18" s="111">
        <v>300000</v>
      </c>
      <c r="N18" s="111">
        <v>300000</v>
      </c>
      <c r="O18" s="111">
        <v>300000</v>
      </c>
      <c r="P18" s="111">
        <v>300000</v>
      </c>
      <c r="Q18" s="111">
        <v>300000</v>
      </c>
      <c r="R18" s="111">
        <v>300000</v>
      </c>
      <c r="S18" s="111">
        <v>300000</v>
      </c>
      <c r="T18" s="111">
        <v>300000</v>
      </c>
      <c r="U18" s="111">
        <v>300000</v>
      </c>
    </row>
    <row r="19" spans="1:21" ht="18.95" thickBot="1">
      <c r="A19" s="63"/>
      <c r="C19" s="101"/>
      <c r="D19" s="16" t="s">
        <v>76</v>
      </c>
      <c r="E19" s="135"/>
      <c r="F19" s="133">
        <v>0.126592920958009</v>
      </c>
    </row>
    <row r="20" spans="1:21" ht="18.95" thickBot="1">
      <c r="A20" s="63"/>
      <c r="C20" s="101"/>
      <c r="D20" s="201" t="s">
        <v>114</v>
      </c>
      <c r="F20" s="64" t="s">
        <v>115</v>
      </c>
    </row>
    <row r="21" spans="1:21" ht="18.95" thickBot="1">
      <c r="A21" s="63"/>
      <c r="C21" s="101"/>
      <c r="D21" s="201"/>
      <c r="E21" s="135"/>
    </row>
    <row r="22" spans="1:21" ht="12" customHeight="1">
      <c r="A22" s="63"/>
      <c r="C22" s="101"/>
      <c r="D22" s="109"/>
      <c r="E22" s="98"/>
    </row>
    <row r="23" spans="1:21" s="59" customFormat="1" ht="18.600000000000001">
      <c r="B23" s="101"/>
      <c r="C23" s="101"/>
      <c r="D23" s="18"/>
      <c r="E23" s="18"/>
      <c r="F23" s="18"/>
      <c r="G23" s="18"/>
      <c r="H23" s="18"/>
      <c r="I23" s="18"/>
      <c r="J23" s="18"/>
      <c r="M23" s="62"/>
    </row>
    <row r="24" spans="1:21" ht="18.600000000000001">
      <c r="A24" s="63"/>
      <c r="B24" s="100"/>
      <c r="C24" s="101" t="s">
        <v>57</v>
      </c>
      <c r="D24" s="102" t="s">
        <v>106</v>
      </c>
      <c r="E24" s="103">
        <v>200000</v>
      </c>
      <c r="F24" s="97"/>
    </row>
    <row r="25" spans="1:21" ht="18.600000000000001">
      <c r="A25" s="63"/>
      <c r="B25" s="100"/>
      <c r="C25" s="100"/>
      <c r="D25" s="102" t="s">
        <v>107</v>
      </c>
      <c r="E25" s="104">
        <v>6</v>
      </c>
    </row>
    <row r="26" spans="1:21" ht="18.600000000000001">
      <c r="A26" s="63"/>
      <c r="B26" s="100"/>
      <c r="C26" s="100"/>
      <c r="D26" s="102" t="s">
        <v>108</v>
      </c>
      <c r="E26" s="103">
        <v>300000</v>
      </c>
      <c r="F26" s="97"/>
    </row>
    <row r="27" spans="1:21" ht="18.600000000000001">
      <c r="A27" s="63"/>
      <c r="B27" s="100"/>
      <c r="C27" s="100"/>
      <c r="D27" s="102" t="s">
        <v>109</v>
      </c>
      <c r="E27" s="104">
        <v>10</v>
      </c>
      <c r="F27" s="97"/>
    </row>
    <row r="28" spans="1:21" ht="18.95" thickBot="1">
      <c r="A28" s="63"/>
      <c r="B28" s="100"/>
      <c r="C28" s="100"/>
      <c r="D28" s="102" t="s">
        <v>110</v>
      </c>
      <c r="E28" s="105">
        <v>0.14000000000000001</v>
      </c>
    </row>
    <row r="29" spans="1:21" ht="18.95" thickBot="1">
      <c r="A29" s="63"/>
      <c r="B29" s="100"/>
      <c r="C29" s="100"/>
      <c r="D29" s="16" t="s">
        <v>111</v>
      </c>
      <c r="E29" s="137"/>
      <c r="F29" s="64">
        <v>777733.50330850214</v>
      </c>
    </row>
    <row r="30" spans="1:21" ht="18.95" thickBot="1">
      <c r="A30" s="63"/>
      <c r="B30" s="100"/>
      <c r="C30" s="100"/>
      <c r="D30" s="16" t="s">
        <v>112</v>
      </c>
      <c r="E30" s="137"/>
      <c r="F30" s="64">
        <v>712917.63588469266</v>
      </c>
    </row>
    <row r="31" spans="1:21" ht="18.95" thickBot="1">
      <c r="D31" s="16" t="s">
        <v>39</v>
      </c>
      <c r="E31" s="136"/>
      <c r="F31" s="64">
        <v>-64815.867423809483</v>
      </c>
    </row>
    <row r="32" spans="1:21" ht="18.600000000000001">
      <c r="C32" s="101"/>
      <c r="D32" s="107" t="str">
        <f>IF(E31&gt;0,"Yes, they should invest","No, they should not invest")</f>
        <v>No, they should not invest</v>
      </c>
    </row>
    <row r="33" spans="1:3">
      <c r="A33" s="63"/>
      <c r="B33" s="100"/>
      <c r="C33" s="100"/>
    </row>
    <row r="34" spans="1:3">
      <c r="A34" s="63"/>
      <c r="B34" s="100"/>
      <c r="C34" s="100"/>
    </row>
    <row r="35" spans="1:3">
      <c r="A35" s="63"/>
      <c r="B35" s="100"/>
      <c r="C35" s="100"/>
    </row>
    <row r="36" spans="1:3">
      <c r="A36" s="63"/>
      <c r="B36" s="100"/>
      <c r="C36" s="100"/>
    </row>
    <row r="37" spans="1:3">
      <c r="A37" s="63"/>
      <c r="B37" s="100"/>
      <c r="C37" s="100"/>
    </row>
    <row r="38" spans="1:3">
      <c r="A38" s="63"/>
      <c r="B38" s="63"/>
      <c r="C38" s="63"/>
    </row>
  </sheetData>
  <mergeCells count="5">
    <mergeCell ref="B3:J3"/>
    <mergeCell ref="C4:I4"/>
    <mergeCell ref="C5:I5"/>
    <mergeCell ref="C6:I6"/>
    <mergeCell ref="D20:D21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N147"/>
  <sheetViews>
    <sheetView zoomScale="70" zoomScaleNormal="70" workbookViewId="0">
      <selection activeCell="C26" sqref="C26"/>
    </sheetView>
  </sheetViews>
  <sheetFormatPr defaultColWidth="11.42578125" defaultRowHeight="14.45"/>
  <cols>
    <col min="2" max="2" width="14" customWidth="1"/>
    <col min="3" max="4" width="13.5703125" bestFit="1" customWidth="1"/>
    <col min="9" max="9" width="15.42578125" customWidth="1"/>
  </cols>
  <sheetData>
    <row r="1" spans="1:6">
      <c r="A1" s="1" t="s">
        <v>116</v>
      </c>
    </row>
    <row r="9" spans="1:6">
      <c r="B9" t="s">
        <v>117</v>
      </c>
      <c r="D9">
        <v>3</v>
      </c>
    </row>
    <row r="10" spans="1:6">
      <c r="B10" s="70" t="s">
        <v>1</v>
      </c>
      <c r="C10" s="70"/>
      <c r="D10" s="71">
        <v>0.1</v>
      </c>
    </row>
    <row r="12" spans="1:6">
      <c r="D12" t="s">
        <v>29</v>
      </c>
    </row>
    <row r="13" spans="1:6">
      <c r="B13" s="5"/>
      <c r="C13" s="5">
        <v>0</v>
      </c>
      <c r="D13" s="5">
        <v>1</v>
      </c>
      <c r="E13" s="5">
        <v>2</v>
      </c>
      <c r="F13" s="5">
        <v>3</v>
      </c>
    </row>
    <row r="14" spans="1:6">
      <c r="B14" s="72" t="s">
        <v>3</v>
      </c>
      <c r="C14" s="72"/>
      <c r="D14" s="72">
        <v>500000</v>
      </c>
      <c r="E14" s="72">
        <v>500000</v>
      </c>
      <c r="F14" s="72">
        <v>500000</v>
      </c>
    </row>
    <row r="15" spans="1:6">
      <c r="B15" s="73" t="s">
        <v>118</v>
      </c>
      <c r="C15" s="73">
        <v>1000000</v>
      </c>
      <c r="D15" s="73"/>
      <c r="E15" s="73"/>
      <c r="F15" s="73"/>
    </row>
    <row r="16" spans="1:6">
      <c r="B16" s="142" t="s">
        <v>119</v>
      </c>
      <c r="C16" s="142">
        <v>1000000</v>
      </c>
      <c r="D16" s="142">
        <v>-500000</v>
      </c>
      <c r="E16" s="142">
        <v>-500000</v>
      </c>
      <c r="F16" s="142">
        <v>-500000</v>
      </c>
    </row>
    <row r="18" spans="1:14" ht="16.5">
      <c r="B18" t="s">
        <v>120</v>
      </c>
      <c r="C18">
        <f>C15</f>
        <v>1000000</v>
      </c>
      <c r="H18" s="13"/>
    </row>
    <row r="19" spans="1:14" ht="16.5">
      <c r="B19" t="s">
        <v>121</v>
      </c>
      <c r="C19" s="74">
        <f>-PV(D10,F13,F14)</f>
        <v>1243425.9954921124</v>
      </c>
      <c r="D19" s="12"/>
    </row>
    <row r="20" spans="1:14" ht="15" thickBot="1">
      <c r="A20" s="75" t="s">
        <v>122</v>
      </c>
      <c r="B20" s="76"/>
      <c r="C20" s="77"/>
      <c r="D20" s="76"/>
      <c r="E20" s="76"/>
      <c r="F20" s="76"/>
      <c r="G20" s="78"/>
      <c r="I20" s="75" t="s">
        <v>123</v>
      </c>
      <c r="J20" s="76"/>
      <c r="K20" s="146" t="s">
        <v>124</v>
      </c>
      <c r="L20" s="76"/>
      <c r="M20" s="76"/>
      <c r="N20" s="78"/>
    </row>
    <row r="21" spans="1:14" ht="15" thickBot="1">
      <c r="A21" s="79"/>
      <c r="B21" t="s">
        <v>39</v>
      </c>
      <c r="C21" s="74">
        <f>C18-C19</f>
        <v>-243425.99549211236</v>
      </c>
      <c r="E21" t="s">
        <v>125</v>
      </c>
      <c r="G21" s="80"/>
      <c r="I21" s="84" t="s">
        <v>126</v>
      </c>
      <c r="J21" s="53">
        <f>RATE(F13,-D14,C15)</f>
        <v>0.23375192852825882</v>
      </c>
      <c r="K21" s="143"/>
      <c r="L21" t="s">
        <v>127</v>
      </c>
      <c r="N21" s="80"/>
    </row>
    <row r="22" spans="1:14" ht="15" thickBot="1">
      <c r="A22" s="144" t="s">
        <v>128</v>
      </c>
      <c r="B22" s="145"/>
      <c r="C22" s="130"/>
      <c r="D22" s="82"/>
      <c r="E22" s="82" t="s">
        <v>129</v>
      </c>
      <c r="F22" s="82"/>
      <c r="G22" s="83"/>
      <c r="I22" s="81" t="s">
        <v>130</v>
      </c>
      <c r="J22" s="85">
        <f>D10</f>
        <v>0.1</v>
      </c>
      <c r="K22" s="82"/>
      <c r="L22" s="82" t="s">
        <v>131</v>
      </c>
      <c r="M22" s="82"/>
      <c r="N22" s="83"/>
    </row>
    <row r="24" spans="1:14">
      <c r="A24" s="57" t="s">
        <v>132</v>
      </c>
      <c r="G24" t="s">
        <v>133</v>
      </c>
    </row>
    <row r="25" spans="1:14">
      <c r="B25" t="s">
        <v>134</v>
      </c>
      <c r="C25" t="s">
        <v>39</v>
      </c>
    </row>
    <row r="26" spans="1:14">
      <c r="B26" s="67">
        <v>0.01</v>
      </c>
      <c r="C26" s="117"/>
    </row>
    <row r="27" spans="1:14">
      <c r="B27" s="67">
        <v>0.02</v>
      </c>
      <c r="C27" s="117"/>
    </row>
    <row r="28" spans="1:14">
      <c r="B28" s="67">
        <v>0.03</v>
      </c>
      <c r="C28" s="117"/>
    </row>
    <row r="29" spans="1:14">
      <c r="B29" s="67">
        <v>0.04</v>
      </c>
      <c r="C29" s="117"/>
    </row>
    <row r="30" spans="1:14">
      <c r="B30" s="67">
        <v>0.05</v>
      </c>
      <c r="C30" s="117"/>
    </row>
    <row r="31" spans="1:14">
      <c r="B31" s="67">
        <v>0.06</v>
      </c>
      <c r="C31" s="117"/>
    </row>
    <row r="32" spans="1:14">
      <c r="B32" s="67">
        <v>7.0000000000000007E-2</v>
      </c>
      <c r="C32" s="117"/>
    </row>
    <row r="33" spans="2:3">
      <c r="B33" s="67">
        <v>0.08</v>
      </c>
      <c r="C33" s="117"/>
    </row>
    <row r="34" spans="2:3">
      <c r="B34" s="67">
        <v>0.09</v>
      </c>
      <c r="C34" s="117"/>
    </row>
    <row r="35" spans="2:3">
      <c r="B35" s="67">
        <v>0.1</v>
      </c>
      <c r="C35" s="117"/>
    </row>
    <row r="36" spans="2:3">
      <c r="B36" s="67">
        <v>0.11</v>
      </c>
      <c r="C36" s="117"/>
    </row>
    <row r="37" spans="2:3">
      <c r="B37" s="67">
        <v>0.12</v>
      </c>
      <c r="C37" s="117"/>
    </row>
    <row r="38" spans="2:3">
      <c r="B38" s="67">
        <v>0.13</v>
      </c>
      <c r="C38" s="117"/>
    </row>
    <row r="39" spans="2:3">
      <c r="B39" s="67">
        <v>0.14000000000000001</v>
      </c>
      <c r="C39" s="117"/>
    </row>
    <row r="40" spans="2:3">
      <c r="B40" s="67">
        <v>0.15</v>
      </c>
      <c r="C40" s="117"/>
    </row>
    <row r="41" spans="2:3">
      <c r="B41" s="67">
        <v>0.16</v>
      </c>
      <c r="C41" s="117"/>
    </row>
    <row r="42" spans="2:3">
      <c r="B42" s="67">
        <v>0.17</v>
      </c>
      <c r="C42" s="117"/>
    </row>
    <row r="43" spans="2:3">
      <c r="B43" s="67">
        <v>0.18</v>
      </c>
      <c r="C43" s="117"/>
    </row>
    <row r="44" spans="2:3">
      <c r="B44" s="67">
        <v>0.19</v>
      </c>
      <c r="C44" s="117"/>
    </row>
    <row r="45" spans="2:3">
      <c r="B45" s="67">
        <v>0.2</v>
      </c>
      <c r="C45" s="117"/>
    </row>
    <row r="46" spans="2:3">
      <c r="B46" s="67">
        <v>0.21</v>
      </c>
      <c r="C46" s="117"/>
    </row>
    <row r="47" spans="2:3">
      <c r="B47" s="67">
        <v>0.22</v>
      </c>
      <c r="C47" s="117"/>
    </row>
    <row r="48" spans="2:3">
      <c r="B48" s="67">
        <v>0.23</v>
      </c>
      <c r="C48" s="117"/>
    </row>
    <row r="49" spans="2:3">
      <c r="B49" s="67">
        <v>0.24</v>
      </c>
      <c r="C49" s="117"/>
    </row>
    <row r="50" spans="2:3">
      <c r="B50" s="67">
        <v>0.25</v>
      </c>
      <c r="C50" s="117"/>
    </row>
    <row r="51" spans="2:3">
      <c r="B51" s="67">
        <v>0.26</v>
      </c>
      <c r="C51" s="117"/>
    </row>
    <row r="52" spans="2:3">
      <c r="B52" s="67">
        <v>0.27</v>
      </c>
      <c r="C52" s="117"/>
    </row>
    <row r="53" spans="2:3">
      <c r="B53" s="67">
        <v>0.28000000000000003</v>
      </c>
      <c r="C53" s="117"/>
    </row>
    <row r="54" spans="2:3">
      <c r="B54" s="67">
        <v>0.28999999999999998</v>
      </c>
      <c r="C54" s="117"/>
    </row>
    <row r="55" spans="2:3">
      <c r="B55" s="67">
        <v>0.3</v>
      </c>
      <c r="C55" s="117"/>
    </row>
    <row r="56" spans="2:3">
      <c r="B56" s="67">
        <v>0.31</v>
      </c>
      <c r="C56" s="117"/>
    </row>
    <row r="57" spans="2:3">
      <c r="B57" s="67">
        <v>0.32</v>
      </c>
      <c r="C57" s="117"/>
    </row>
    <row r="58" spans="2:3">
      <c r="B58" s="67">
        <v>0.33</v>
      </c>
      <c r="C58" s="117"/>
    </row>
    <row r="59" spans="2:3">
      <c r="B59" s="67">
        <v>0.34</v>
      </c>
      <c r="C59" s="117"/>
    </row>
    <row r="60" spans="2:3">
      <c r="B60" s="67">
        <v>0.35</v>
      </c>
      <c r="C60" s="117"/>
    </row>
    <row r="61" spans="2:3">
      <c r="B61" s="67">
        <v>0.36</v>
      </c>
      <c r="C61" s="117"/>
    </row>
    <row r="62" spans="2:3">
      <c r="B62" s="67">
        <v>0.37</v>
      </c>
      <c r="C62" s="117"/>
    </row>
    <row r="63" spans="2:3">
      <c r="B63" s="67">
        <v>0.38</v>
      </c>
      <c r="C63" s="117"/>
    </row>
    <row r="64" spans="2:3">
      <c r="B64" s="67"/>
    </row>
    <row r="65" spans="2:2">
      <c r="B65" s="67"/>
    </row>
    <row r="66" spans="2:2">
      <c r="B66" s="67"/>
    </row>
    <row r="67" spans="2:2">
      <c r="B67" s="67"/>
    </row>
    <row r="68" spans="2:2">
      <c r="B68" s="67"/>
    </row>
    <row r="69" spans="2:2">
      <c r="B69" s="67"/>
    </row>
    <row r="70" spans="2:2">
      <c r="B70" s="67"/>
    </row>
    <row r="71" spans="2:2">
      <c r="B71" s="67"/>
    </row>
    <row r="72" spans="2:2">
      <c r="B72" s="67"/>
    </row>
    <row r="73" spans="2:2">
      <c r="B73" s="67"/>
    </row>
    <row r="74" spans="2:2">
      <c r="B74" s="67"/>
    </row>
    <row r="75" spans="2:2">
      <c r="B75" s="67"/>
    </row>
    <row r="76" spans="2:2">
      <c r="B76" s="67"/>
    </row>
    <row r="77" spans="2:2">
      <c r="B77" s="67"/>
    </row>
    <row r="78" spans="2:2">
      <c r="B78" s="67"/>
    </row>
    <row r="79" spans="2:2">
      <c r="B79" s="67"/>
    </row>
    <row r="80" spans="2:2">
      <c r="B80" s="67"/>
    </row>
    <row r="81" spans="2:2">
      <c r="B81" s="67"/>
    </row>
    <row r="82" spans="2:2">
      <c r="B82" s="67"/>
    </row>
    <row r="83" spans="2:2">
      <c r="B83" s="67"/>
    </row>
    <row r="84" spans="2:2">
      <c r="B84" s="67"/>
    </row>
    <row r="85" spans="2:2">
      <c r="B85" s="67"/>
    </row>
    <row r="86" spans="2:2">
      <c r="B86" s="67"/>
    </row>
    <row r="87" spans="2:2">
      <c r="B87" s="67"/>
    </row>
    <row r="88" spans="2:2">
      <c r="B88" s="67"/>
    </row>
    <row r="89" spans="2:2">
      <c r="B89" s="67"/>
    </row>
    <row r="90" spans="2:2">
      <c r="B90" s="67"/>
    </row>
    <row r="91" spans="2:2">
      <c r="B91" s="67"/>
    </row>
    <row r="92" spans="2:2">
      <c r="B92" s="67"/>
    </row>
    <row r="93" spans="2:2">
      <c r="B93" s="67"/>
    </row>
    <row r="94" spans="2:2">
      <c r="B94" s="67"/>
    </row>
    <row r="95" spans="2:2">
      <c r="B95" s="67"/>
    </row>
    <row r="96" spans="2:2">
      <c r="B96" s="67"/>
    </row>
    <row r="97" spans="2:2">
      <c r="B97" s="67"/>
    </row>
    <row r="98" spans="2:2">
      <c r="B98" s="67"/>
    </row>
    <row r="99" spans="2:2">
      <c r="B99" s="67"/>
    </row>
    <row r="100" spans="2:2">
      <c r="B100" s="67"/>
    </row>
    <row r="101" spans="2:2">
      <c r="B101" s="67"/>
    </row>
    <row r="102" spans="2:2">
      <c r="B102" s="67"/>
    </row>
    <row r="103" spans="2:2">
      <c r="B103" s="67"/>
    </row>
    <row r="104" spans="2:2">
      <c r="B104" s="67"/>
    </row>
    <row r="105" spans="2:2">
      <c r="B105" s="67"/>
    </row>
    <row r="106" spans="2:2">
      <c r="B106" s="67"/>
    </row>
    <row r="107" spans="2:2">
      <c r="B107" s="67"/>
    </row>
    <row r="108" spans="2:2">
      <c r="B108" s="67"/>
    </row>
    <row r="109" spans="2:2">
      <c r="B109" s="67"/>
    </row>
    <row r="110" spans="2:2">
      <c r="B110" s="67"/>
    </row>
    <row r="111" spans="2:2">
      <c r="B111" s="67"/>
    </row>
    <row r="112" spans="2:2">
      <c r="B112" s="67"/>
    </row>
    <row r="113" spans="2:2">
      <c r="B113" s="67"/>
    </row>
    <row r="114" spans="2:2">
      <c r="B114" s="67"/>
    </row>
    <row r="115" spans="2:2">
      <c r="B115" s="67"/>
    </row>
    <row r="116" spans="2:2">
      <c r="B116" s="67"/>
    </row>
    <row r="117" spans="2:2">
      <c r="B117" s="67"/>
    </row>
    <row r="118" spans="2:2">
      <c r="B118" s="67"/>
    </row>
    <row r="119" spans="2:2">
      <c r="B119" s="67"/>
    </row>
    <row r="120" spans="2:2">
      <c r="B120" s="67"/>
    </row>
    <row r="121" spans="2:2">
      <c r="B121" s="67"/>
    </row>
    <row r="122" spans="2:2">
      <c r="B122" s="67"/>
    </row>
    <row r="123" spans="2:2">
      <c r="B123" s="67"/>
    </row>
    <row r="124" spans="2:2">
      <c r="B124" s="67"/>
    </row>
    <row r="125" spans="2:2">
      <c r="B125" s="67"/>
    </row>
    <row r="126" spans="2:2">
      <c r="B126" s="67"/>
    </row>
    <row r="127" spans="2:2">
      <c r="B127" s="67"/>
    </row>
    <row r="128" spans="2:2">
      <c r="B128" s="67"/>
    </row>
    <row r="129" spans="2:2">
      <c r="B129" s="67"/>
    </row>
    <row r="130" spans="2:2">
      <c r="B130" s="67"/>
    </row>
    <row r="131" spans="2:2">
      <c r="B131" s="67"/>
    </row>
    <row r="132" spans="2:2">
      <c r="B132" s="67"/>
    </row>
    <row r="133" spans="2:2">
      <c r="B133" s="67"/>
    </row>
    <row r="134" spans="2:2">
      <c r="B134" s="67"/>
    </row>
    <row r="135" spans="2:2">
      <c r="B135" s="67"/>
    </row>
    <row r="136" spans="2:2">
      <c r="B136" s="67"/>
    </row>
    <row r="137" spans="2:2">
      <c r="B137" s="67"/>
    </row>
    <row r="138" spans="2:2">
      <c r="B138" s="67"/>
    </row>
    <row r="139" spans="2:2">
      <c r="B139" s="67"/>
    </row>
    <row r="140" spans="2:2">
      <c r="B140" s="67"/>
    </row>
    <row r="141" spans="2:2">
      <c r="B141" s="67"/>
    </row>
    <row r="142" spans="2:2">
      <c r="B142" s="67"/>
    </row>
    <row r="143" spans="2:2">
      <c r="B143" s="67"/>
    </row>
    <row r="144" spans="2:2">
      <c r="B144" s="67"/>
    </row>
    <row r="145" spans="2:2">
      <c r="B145" s="67"/>
    </row>
    <row r="146" spans="2:2">
      <c r="B146" s="67"/>
    </row>
    <row r="147" spans="2:2">
      <c r="B147" s="67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D1:I12"/>
  <sheetViews>
    <sheetView workbookViewId="0">
      <selection activeCell="D11" sqref="D11"/>
    </sheetView>
  </sheetViews>
  <sheetFormatPr defaultRowHeight="14.45"/>
  <cols>
    <col min="5" max="5" width="13.42578125" customWidth="1"/>
  </cols>
  <sheetData>
    <row r="1" spans="4:9">
      <c r="G1" t="s">
        <v>2</v>
      </c>
    </row>
    <row r="2" spans="4:9">
      <c r="F2" s="5">
        <v>1</v>
      </c>
      <c r="G2" s="5">
        <v>2</v>
      </c>
      <c r="H2" s="5">
        <v>3</v>
      </c>
      <c r="I2" s="5">
        <v>4</v>
      </c>
    </row>
    <row r="3" spans="4:9">
      <c r="E3" s="5" t="s">
        <v>119</v>
      </c>
      <c r="F3" s="5">
        <v>500</v>
      </c>
      <c r="G3" s="5">
        <v>500</v>
      </c>
      <c r="H3" s="5">
        <v>500</v>
      </c>
      <c r="I3" s="5">
        <v>-2000</v>
      </c>
    </row>
    <row r="4" spans="4:9" ht="15" thickBot="1"/>
    <row r="5" spans="4:9">
      <c r="E5" s="138" t="s">
        <v>76</v>
      </c>
      <c r="F5" s="139"/>
      <c r="G5" s="141">
        <v>0.15091108433594269</v>
      </c>
    </row>
    <row r="6" spans="4:9">
      <c r="E6" s="138" t="s">
        <v>135</v>
      </c>
      <c r="F6" s="148">
        <f>G6</f>
        <v>0.1</v>
      </c>
      <c r="G6" s="141">
        <v>0.1</v>
      </c>
    </row>
    <row r="7" spans="4:9" ht="15" thickBot="1">
      <c r="E7" s="138" t="s">
        <v>136</v>
      </c>
      <c r="F7" s="140"/>
      <c r="G7">
        <v>-122.60091523802862</v>
      </c>
    </row>
    <row r="9" spans="4:9">
      <c r="E9" t="s">
        <v>137</v>
      </c>
      <c r="F9" t="s">
        <v>138</v>
      </c>
    </row>
    <row r="10" spans="4:9">
      <c r="D10" t="s">
        <v>139</v>
      </c>
      <c r="E10" t="s">
        <v>140</v>
      </c>
      <c r="F10" t="s">
        <v>141</v>
      </c>
    </row>
    <row r="12" spans="4:9">
      <c r="E12" t="s">
        <v>142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32D01C4A9C8A4DA8FB300510BE6183" ma:contentTypeVersion="3" ma:contentTypeDescription="Create a new document." ma:contentTypeScope="" ma:versionID="781d07412b074c83ef1d3a749c487de9">
  <xsd:schema xmlns:xsd="http://www.w3.org/2001/XMLSchema" xmlns:xs="http://www.w3.org/2001/XMLSchema" xmlns:p="http://schemas.microsoft.com/office/2006/metadata/properties" xmlns:ns2="89ebdd12-a8f8-4dc8-8094-c84111edd963" targetNamespace="http://schemas.microsoft.com/office/2006/metadata/properties" ma:root="true" ma:fieldsID="457a4bca0be707a0d6587c407361c6d3" ns2:_="">
    <xsd:import namespace="89ebdd12-a8f8-4dc8-8094-c84111edd9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bdd12-a8f8-4dc8-8094-c84111edd9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1AC101-BD21-4C1D-807F-B005DEC460BE}"/>
</file>

<file path=customXml/itemProps2.xml><?xml version="1.0" encoding="utf-8"?>
<ds:datastoreItem xmlns:ds="http://schemas.openxmlformats.org/officeDocument/2006/customXml" ds:itemID="{983A8737-1C8C-4EF0-8912-936D6B444340}"/>
</file>

<file path=customXml/itemProps3.xml><?xml version="1.0" encoding="utf-8"?>
<ds:datastoreItem xmlns:ds="http://schemas.openxmlformats.org/officeDocument/2006/customXml" ds:itemID="{D4F8C167-EBB5-4F66-A9B4-9751B84D2621}"/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Dalmasso</dc:creator>
  <cp:keywords/>
  <dc:description/>
  <cp:lastModifiedBy>DE AMICIS Chiara</cp:lastModifiedBy>
  <cp:revision/>
  <dcterms:created xsi:type="dcterms:W3CDTF">2015-02-18T07:31:34Z</dcterms:created>
  <dcterms:modified xsi:type="dcterms:W3CDTF">2026-09-09T17:47:20Z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0x0101009332D01C4A9C8A4DA8FB300510BE6183</vt:lpwstr>
  </property>
</Properties>
</file>